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Lists" sheetId="2" state="visible" r:id="rId2"/>
    <sheet name="Sprints" sheetId="3" state="visible" r:id="rId3"/>
    <sheet name="People" sheetId="4" state="visible" r:id="rId4"/>
    <sheet name="ProcessGroups" sheetId="5" state="visible" r:id="rId5"/>
    <sheet name="Activities" sheetId="6" state="visible" r:id="rId6"/>
    <sheet name="Milestones" sheetId="7" state="visible" r:id="rId7"/>
    <sheet name="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color rgb="00555555"/>
      <sz val="10"/>
    </font>
    <font>
      <name val="Arial"/>
      <b val="1"/>
      <sz val="11"/>
    </font>
    <font>
      <name val="Arial"/>
      <sz val="10"/>
    </font>
    <font>
      <name val="Arial"/>
      <i val="1"/>
      <color rgb="00808080"/>
      <sz val="10"/>
    </font>
    <font>
      <name val="Arial"/>
      <b val="1"/>
      <color rgb="00FFFFFF"/>
      <sz val="10"/>
    </font>
    <font>
      <name val="Arial"/>
      <color rgb="000000FF"/>
      <sz val="10"/>
    </font>
  </fonts>
  <fills count="4">
    <fill>
      <patternFill/>
    </fill>
    <fill>
      <patternFill patternType="gray125"/>
    </fill>
    <fill>
      <patternFill patternType="solid">
        <fgColor rgb="00FFF9CC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3" borderId="0" applyAlignment="1" pivotButton="0" quotePrefix="0" xfId="0">
      <alignment vertical="center" wrapText="1"/>
    </xf>
    <xf numFmtId="0" fontId="7" fillId="2" borderId="1" pivotButton="0" quotePrefix="0" xfId="0"/>
    <xf numFmtId="0" fontId="0" fillId="2" borderId="1" pivotButton="0" quotePrefix="0" xfId="0"/>
    <xf numFmtId="0" fontId="5" fillId="2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Process Group Roadmap — data template</t>
        </is>
      </c>
    </row>
    <row r="2">
      <c r="A2" s="2" t="inlineStr">
        <is>
          <t>Fill in the yellow cells. White cells are formulas — leave them alone.</t>
        </is>
      </c>
    </row>
    <row r="3">
      <c r="A3" t="inlineStr"/>
    </row>
    <row r="4">
      <c r="A4" s="3" t="inlineStr">
        <is>
          <t>Sheets, in the order to fill them</t>
        </is>
      </c>
    </row>
    <row r="5">
      <c r="A5" s="4" t="inlineStr">
        <is>
          <t>1. Sprints — your sprint calendar. Add or delete rows to match how far you have actually planned.</t>
        </is>
      </c>
    </row>
    <row r="6">
      <c r="A6" s="4" t="inlineStr">
        <is>
          <t>2. People — everyone who owns work. Initials become the avatar on the roadmap.</t>
        </is>
      </c>
    </row>
    <row r="7">
      <c r="A7" s="4" t="inlineStr">
        <is>
          <t>3. ProcessGroups — the workflows being redesigned. One row each. This is the unit of the roadmap.</t>
        </is>
      </c>
    </row>
    <row r="8">
      <c r="A8" s="4" t="inlineStr">
        <is>
          <t>4. Activities — the bars. One row per piece of work.</t>
        </is>
      </c>
    </row>
    <row r="9">
      <c r="A9" s="4" t="inlineStr">
        <is>
          <t>5. Milestones — transfers and commitments only. See the list on the Lists sheet.</t>
        </is>
      </c>
    </row>
    <row r="10">
      <c r="A10" t="inlineStr"/>
    </row>
    <row r="11">
      <c r="A11" s="3" t="inlineStr">
        <is>
          <t>Rules worth knowing before you start</t>
        </is>
      </c>
    </row>
    <row r="12">
      <c r="A12" s="4" t="inlineStr">
        <is>
          <t>• Horizon is a property of an ACTIVITY, not of a process group. The same process group can carry</t>
        </is>
      </c>
    </row>
    <row r="13">
      <c r="A13" s="4" t="inlineStr">
        <is>
          <t xml:space="preserve">  future-state, MVP and PoC work at once — give it one row per activity and set the horizon on each.</t>
        </is>
      </c>
    </row>
    <row r="14">
      <c r="A14" s="4" t="inlineStr">
        <is>
          <t>• A UX coverage gap is computed by the roadmap, not here: any sprint where a process group has</t>
        </is>
      </c>
    </row>
    <row r="15">
      <c r="A15" s="4" t="inlineStr">
        <is>
          <t xml:space="preserve">  product-owner activity and no UX activity within plus or minus one sprint.</t>
        </is>
      </c>
    </row>
    <row r="16">
      <c r="A16" s="4" t="inlineStr">
        <is>
          <t>• A milestone is a transfer or a commitment, never a task finishing. 'Wireframes complete' is not one.</t>
        </is>
      </c>
    </row>
    <row r="17">
      <c r="A17" s="4" t="inlineStr">
        <is>
          <t>• Design stage is derived from the activity Type — see the mapping on the Lists sheet.</t>
        </is>
      </c>
    </row>
    <row r="18">
      <c r="A18" t="inlineStr"/>
    </row>
    <row r="19">
      <c r="A19" s="3" t="inlineStr">
        <is>
          <t>Colour key</t>
        </is>
      </c>
    </row>
    <row r="20">
      <c r="A20" s="4" t="inlineStr">
        <is>
          <t>Yellow fill = type here.   Blue text = a value you typed.   Black text = a formula, do not edit.</t>
        </is>
      </c>
    </row>
    <row r="21">
      <c r="A21" s="5" t="inlineStr">
        <is>
          <t>Grey italic = an example row. Delete the example rows before you use this for real.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32" customWidth="1" min="3" max="3"/>
    <col width="18" customWidth="1" min="4" max="4"/>
    <col width="16" customWidth="1" min="5" max="5"/>
  </cols>
  <sheetData>
    <row r="1" ht="26" customHeight="1">
      <c r="A1" s="6" t="inlineStr">
        <is>
          <t>Horizon</t>
        </is>
      </c>
      <c r="B1" s="6" t="inlineStr">
        <is>
          <t>Track</t>
        </is>
      </c>
      <c r="C1" s="6" t="inlineStr">
        <is>
          <t>MilestoneType</t>
        </is>
      </c>
      <c r="D1" s="6" t="inlineStr">
        <is>
          <t>ActivityType</t>
        </is>
      </c>
      <c r="E1" s="6" t="inlineStr">
        <is>
          <t>DesignStage</t>
        </is>
      </c>
    </row>
    <row r="2">
      <c r="A2" s="4" t="inlineStr">
        <is>
          <t>Future-State Discovery</t>
        </is>
      </c>
      <c r="B2" s="4" t="inlineStr">
        <is>
          <t>Product owner</t>
        </is>
      </c>
      <c r="C2" s="4" t="inlineStr">
        <is>
          <t>Discovery to backlog</t>
        </is>
      </c>
      <c r="D2" s="4" t="inlineStr">
        <is>
          <t>Research</t>
        </is>
      </c>
      <c r="E2" s="4" t="inlineStr">
        <is>
          <t>Discover</t>
        </is>
      </c>
    </row>
    <row r="3">
      <c r="A3" s="4" t="inlineStr">
        <is>
          <t>MVP Delivery</t>
        </is>
      </c>
      <c r="B3" s="4" t="inlineStr">
        <is>
          <t>UX</t>
        </is>
      </c>
      <c r="C3" s="4" t="inlineStr">
        <is>
          <t>Requirements baselined</t>
        </is>
      </c>
      <c r="D3" s="4" t="inlineStr">
        <is>
          <t>Workshop</t>
        </is>
      </c>
      <c r="E3" s="4" t="inlineStr">
        <is>
          <t>Discover</t>
        </is>
      </c>
    </row>
    <row r="4">
      <c r="A4" s="4" t="inlineStr">
        <is>
          <t>Innovation &amp; PoC</t>
        </is>
      </c>
      <c r="B4" s="4" t="inlineStr">
        <is>
          <t>Enablement</t>
        </is>
      </c>
      <c r="C4" s="4" t="inlineStr">
        <is>
          <t>Design handoff to engineering</t>
        </is>
      </c>
      <c r="D4" s="4" t="inlineStr">
        <is>
          <t>Artefact</t>
        </is>
      </c>
      <c r="E4" s="4" t="inlineStr">
        <is>
          <t>Define</t>
        </is>
      </c>
    </row>
    <row r="5">
      <c r="A5" s="4" t="inlineStr">
        <is>
          <t>Operational Enablement</t>
        </is>
      </c>
      <c r="C5" s="4" t="inlineStr">
        <is>
          <t>Stakeholder demo</t>
        </is>
      </c>
      <c r="D5" s="4" t="inlineStr">
        <is>
          <t>Requirements</t>
        </is>
      </c>
      <c r="E5" s="4" t="inlineStr">
        <is>
          <t>Define</t>
        </is>
      </c>
    </row>
    <row r="6">
      <c r="C6" s="4" t="inlineStr">
        <is>
          <t>UAT start</t>
        </is>
      </c>
      <c r="D6" s="4" t="inlineStr">
        <is>
          <t>Sign-off</t>
        </is>
      </c>
      <c r="E6" s="4" t="inlineStr">
        <is>
          <t>Define</t>
        </is>
      </c>
    </row>
    <row r="7">
      <c r="C7" s="4" t="inlineStr">
        <is>
          <t>PoC gate decision</t>
        </is>
      </c>
      <c r="D7" s="4" t="inlineStr">
        <is>
          <t>Backlog</t>
        </is>
      </c>
      <c r="E7" s="4" t="inlineStr">
        <is>
          <t>Define</t>
        </is>
      </c>
    </row>
    <row r="8">
      <c r="C8" s="4" t="inlineStr">
        <is>
          <t>Graduates to MVP delivery</t>
        </is>
      </c>
      <c r="D8" s="4" t="inlineStr">
        <is>
          <t>Framing</t>
        </is>
      </c>
      <c r="E8" s="4" t="inlineStr">
        <is>
          <t>Define</t>
        </is>
      </c>
    </row>
    <row r="9">
      <c r="C9" s="4" t="inlineStr">
        <is>
          <t>Go-live</t>
        </is>
      </c>
      <c r="D9" s="4" t="inlineStr">
        <is>
          <t>Concept</t>
        </is>
      </c>
      <c r="E9" s="4" t="inlineStr">
        <is>
          <t>Design</t>
        </is>
      </c>
    </row>
    <row r="10">
      <c r="C10" s="4" t="inlineStr">
        <is>
          <t>Legacy freeze</t>
        </is>
      </c>
      <c r="D10" s="4" t="inlineStr">
        <is>
          <t>Design</t>
        </is>
      </c>
      <c r="E10" s="4" t="inlineStr">
        <is>
          <t>Design</t>
        </is>
      </c>
    </row>
    <row r="11">
      <c r="C11" s="4" t="inlineStr">
        <is>
          <t>Steering group</t>
        </is>
      </c>
      <c r="D11" s="4" t="inlineStr">
        <is>
          <t>Spike</t>
        </is>
      </c>
      <c r="E11" s="4" t="inlineStr">
        <is>
          <t>Design</t>
        </is>
      </c>
    </row>
    <row r="12">
      <c r="D12" s="4" t="inlineStr">
        <is>
          <t>Testing</t>
        </is>
      </c>
      <c r="E12" s="4" t="inlineStr">
        <is>
          <t>Validate</t>
        </is>
      </c>
    </row>
    <row r="13">
      <c r="D13" s="4" t="inlineStr">
        <is>
          <t>UAT</t>
        </is>
      </c>
      <c r="E13" s="4" t="inlineStr">
        <is>
          <t>Validate</t>
        </is>
      </c>
    </row>
    <row r="14">
      <c r="D14" s="4" t="inlineStr">
        <is>
          <t>Gate</t>
        </is>
      </c>
      <c r="E14" s="4" t="inlineStr">
        <is>
          <t>Validate</t>
        </is>
      </c>
    </row>
    <row r="15">
      <c r="D15" s="4" t="inlineStr">
        <is>
          <t>Handoff</t>
        </is>
      </c>
      <c r="E15" s="4" t="inlineStr">
        <is>
          <t>Deliver</t>
        </is>
      </c>
    </row>
    <row r="16">
      <c r="D16" s="4" t="inlineStr">
        <is>
          <t>Release</t>
        </is>
      </c>
      <c r="E16" s="4" t="inlineStr">
        <is>
          <t>Deliver</t>
        </is>
      </c>
    </row>
    <row r="17">
      <c r="D17" s="4" t="inlineStr">
        <is>
          <t>Provisioning</t>
        </is>
      </c>
      <c r="E17" s="4" t="inlineStr">
        <is>
          <t>Deliver</t>
        </is>
      </c>
    </row>
    <row r="18">
      <c r="D18" s="4" t="inlineStr">
        <is>
          <t>Procurement</t>
        </is>
      </c>
      <c r="E18" s="4" t="inlineStr">
        <is>
          <t>Enable</t>
        </is>
      </c>
    </row>
    <row r="19">
      <c r="D19" s="4" t="inlineStr">
        <is>
          <t>Access</t>
        </is>
      </c>
      <c r="E19" s="4" t="inlineStr">
        <is>
          <t>Enable</t>
        </is>
      </c>
    </row>
    <row r="20">
      <c r="D20" s="4" t="inlineStr">
        <is>
          <t>Recruiting</t>
        </is>
      </c>
      <c r="E20" s="4" t="inlineStr">
        <is>
          <t>Enable</t>
        </is>
      </c>
    </row>
    <row r="22">
      <c r="D22" s="2" t="inlineStr">
        <is>
          <t>Type drives Design stage. Add a pair here to add a stage.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20" customWidth="1" min="4" max="4"/>
    <col width="40" customWidth="1" min="5" max="5"/>
  </cols>
  <sheetData>
    <row r="1" ht="26" customHeight="1">
      <c r="A1" s="6" t="inlineStr">
        <is>
          <t>Sprint</t>
        </is>
      </c>
      <c r="B1" s="6" t="inlineStr">
        <is>
          <t>Start date</t>
        </is>
      </c>
      <c r="C1" s="6" t="inlineStr">
        <is>
          <t>End date</t>
        </is>
      </c>
      <c r="D1" s="6" t="inlineStr">
        <is>
          <t>Reduced capacity?</t>
        </is>
      </c>
      <c r="E1" s="6" t="inlineStr">
        <is>
          <t>Note</t>
        </is>
      </c>
    </row>
    <row r="2">
      <c r="A2" s="7" t="inlineStr">
        <is>
          <t>S1</t>
        </is>
      </c>
      <c r="B2" s="7" t="inlineStr">
        <is>
          <t>2026-09-28</t>
        </is>
      </c>
      <c r="C2" s="7" t="inlineStr">
        <is>
          <t>2026-10-09</t>
        </is>
      </c>
      <c r="D2" s="7" t="inlineStr">
        <is>
          <t>No</t>
        </is>
      </c>
      <c r="E2" s="8" t="n"/>
    </row>
    <row r="3">
      <c r="A3" s="7" t="inlineStr">
        <is>
          <t>S2</t>
        </is>
      </c>
      <c r="B3" s="7" t="inlineStr">
        <is>
          <t>2026-10-12</t>
        </is>
      </c>
      <c r="C3" s="7" t="inlineStr">
        <is>
          <t>2026-10-23</t>
        </is>
      </c>
      <c r="D3" s="7" t="inlineStr">
        <is>
          <t>No</t>
        </is>
      </c>
      <c r="E3" s="8" t="n"/>
    </row>
    <row r="4">
      <c r="A4" s="7" t="inlineStr">
        <is>
          <t>S3</t>
        </is>
      </c>
      <c r="B4" s="7" t="inlineStr">
        <is>
          <t>2026-10-26</t>
        </is>
      </c>
      <c r="C4" s="7" t="inlineStr">
        <is>
          <t>2026-11-06</t>
        </is>
      </c>
      <c r="D4" s="7" t="inlineStr">
        <is>
          <t>No</t>
        </is>
      </c>
      <c r="E4" s="8" t="n"/>
    </row>
    <row r="5">
      <c r="A5" s="7" t="inlineStr">
        <is>
          <t>S4</t>
        </is>
      </c>
      <c r="B5" s="7" t="inlineStr">
        <is>
          <t>2026-11-09</t>
        </is>
      </c>
      <c r="C5" s="7" t="inlineStr">
        <is>
          <t>2026-11-20</t>
        </is>
      </c>
      <c r="D5" s="7" t="inlineStr">
        <is>
          <t>No</t>
        </is>
      </c>
      <c r="E5" s="8" t="n"/>
    </row>
    <row r="6">
      <c r="A6" s="7" t="inlineStr">
        <is>
          <t>S5</t>
        </is>
      </c>
      <c r="B6" s="7" t="inlineStr">
        <is>
          <t>2026-11-23</t>
        </is>
      </c>
      <c r="C6" s="7" t="inlineStr">
        <is>
          <t>2026-12-04</t>
        </is>
      </c>
      <c r="D6" s="7" t="inlineStr">
        <is>
          <t>No</t>
        </is>
      </c>
      <c r="E6" s="8" t="n"/>
    </row>
    <row r="7">
      <c r="A7" s="7" t="inlineStr">
        <is>
          <t>S6</t>
        </is>
      </c>
      <c r="B7" s="7" t="inlineStr">
        <is>
          <t>2026-12-07</t>
        </is>
      </c>
      <c r="C7" s="7" t="inlineStr">
        <is>
          <t>2026-12-18</t>
        </is>
      </c>
      <c r="D7" s="7" t="inlineStr">
        <is>
          <t>No</t>
        </is>
      </c>
      <c r="E7" s="8" t="n"/>
    </row>
    <row r="8">
      <c r="A8" s="7" t="inlineStr">
        <is>
          <t>S7</t>
        </is>
      </c>
      <c r="B8" s="7" t="inlineStr">
        <is>
          <t>2026-12-21</t>
        </is>
      </c>
      <c r="C8" s="7" t="inlineStr">
        <is>
          <t>2027-01-01</t>
        </is>
      </c>
      <c r="D8" s="7" t="inlineStr">
        <is>
          <t>Yes</t>
        </is>
      </c>
      <c r="E8" s="9" t="inlineStr">
        <is>
          <t>Holiday period — plan nothing with a hard commitment here.</t>
        </is>
      </c>
    </row>
    <row r="9">
      <c r="A9" s="7" t="inlineStr">
        <is>
          <t>S8</t>
        </is>
      </c>
      <c r="B9" s="7" t="inlineStr">
        <is>
          <t>2027-01-04</t>
        </is>
      </c>
      <c r="C9" s="7" t="inlineStr">
        <is>
          <t>2027-01-15</t>
        </is>
      </c>
      <c r="D9" s="7" t="inlineStr">
        <is>
          <t>No</t>
        </is>
      </c>
      <c r="E9" s="8" t="n"/>
    </row>
    <row r="10">
      <c r="A10" s="7" t="inlineStr">
        <is>
          <t>S9</t>
        </is>
      </c>
      <c r="B10" s="7" t="inlineStr">
        <is>
          <t>2027-01-18</t>
        </is>
      </c>
      <c r="C10" s="7" t="inlineStr">
        <is>
          <t>2027-01-29</t>
        </is>
      </c>
      <c r="D10" s="7" t="inlineStr">
        <is>
          <t>No</t>
        </is>
      </c>
      <c r="E10" s="8" t="n"/>
    </row>
    <row r="11">
      <c r="A11" s="7" t="inlineStr">
        <is>
          <t>S10</t>
        </is>
      </c>
      <c r="B11" s="7" t="inlineStr">
        <is>
          <t>2027-02-01</t>
        </is>
      </c>
      <c r="C11" s="7" t="inlineStr">
        <is>
          <t>2027-02-12</t>
        </is>
      </c>
      <c r="D11" s="7" t="inlineStr">
        <is>
          <t>No</t>
        </is>
      </c>
      <c r="E11" s="8" t="n"/>
    </row>
    <row r="12">
      <c r="A12" s="7" t="inlineStr">
        <is>
          <t>S11</t>
        </is>
      </c>
      <c r="B12" s="7" t="inlineStr">
        <is>
          <t>2027-02-15</t>
        </is>
      </c>
      <c r="C12" s="7" t="inlineStr">
        <is>
          <t>2027-02-26</t>
        </is>
      </c>
      <c r="D12" s="7" t="inlineStr">
        <is>
          <t>No</t>
        </is>
      </c>
      <c r="E12" s="8" t="n"/>
    </row>
    <row r="13">
      <c r="A13" s="7" t="inlineStr">
        <is>
          <t>S12</t>
        </is>
      </c>
      <c r="B13" s="7" t="inlineStr">
        <is>
          <t>2027-03-01</t>
        </is>
      </c>
      <c r="C13" s="7" t="inlineStr">
        <is>
          <t>2027-03-12</t>
        </is>
      </c>
      <c r="D13" s="7" t="inlineStr">
        <is>
          <t>No</t>
        </is>
      </c>
      <c r="E13" s="8" t="n"/>
    </row>
    <row r="14">
      <c r="A14" s="7" t="inlineStr">
        <is>
          <t>S13</t>
        </is>
      </c>
      <c r="B14" s="7" t="inlineStr">
        <is>
          <t>2027-03-15</t>
        </is>
      </c>
      <c r="C14" s="7" t="inlineStr">
        <is>
          <t>2027-03-26</t>
        </is>
      </c>
      <c r="D14" s="7" t="inlineStr">
        <is>
          <t>No</t>
        </is>
      </c>
      <c r="E14" s="8" t="n"/>
    </row>
  </sheetData>
  <dataValidations count="1">
    <dataValidation sqref="D2:D6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2" customWidth="1" min="3" max="3"/>
    <col width="20" customWidth="1" min="4" max="4"/>
  </cols>
  <sheetData>
    <row r="1" ht="26" customHeight="1">
      <c r="A1" s="6" t="inlineStr">
        <is>
          <t>Initials</t>
        </is>
      </c>
      <c r="B1" s="6" t="inlineStr">
        <is>
          <t>Full name</t>
        </is>
      </c>
      <c r="C1" s="6" t="inlineStr">
        <is>
          <t>Role</t>
        </is>
      </c>
      <c r="D1" s="6" t="inlineStr">
        <is>
          <t>Team</t>
        </is>
      </c>
    </row>
    <row r="2">
      <c r="A2" s="9" t="inlineStr">
        <is>
          <t>DW</t>
        </is>
      </c>
      <c r="B2" s="9" t="inlineStr">
        <is>
          <t>Dana Whitfield</t>
        </is>
      </c>
      <c r="C2" s="9" t="inlineStr">
        <is>
          <t>Product owner</t>
        </is>
      </c>
      <c r="D2" s="9" t="inlineStr">
        <is>
          <t>EXAMPLE — delete</t>
        </is>
      </c>
    </row>
    <row r="3">
      <c r="A3" s="9" t="inlineStr">
        <is>
          <t>TO</t>
        </is>
      </c>
      <c r="B3" s="9" t="inlineStr">
        <is>
          <t>Tom Okafor</t>
        </is>
      </c>
      <c r="C3" s="9" t="inlineStr">
        <is>
          <t>Researcher</t>
        </is>
      </c>
      <c r="D3" s="9" t="inlineStr">
        <is>
          <t>EXAMPLE — delete</t>
        </is>
      </c>
    </row>
    <row r="4">
      <c r="A4" s="9" t="inlineStr">
        <is>
          <t>LB</t>
        </is>
      </c>
      <c r="B4" s="9" t="inlineStr">
        <is>
          <t>Lena Brandt</t>
        </is>
      </c>
      <c r="C4" s="9" t="inlineStr">
        <is>
          <t>Designer</t>
        </is>
      </c>
      <c r="D4" s="9" t="inlineStr">
        <is>
          <t>EXAMPLE — delete</t>
        </is>
      </c>
    </row>
    <row r="5">
      <c r="A5" s="8" t="n"/>
      <c r="B5" s="8" t="n"/>
      <c r="C5" s="8" t="n"/>
      <c r="D5" s="8" t="n"/>
    </row>
    <row r="6">
      <c r="A6" s="8" t="n"/>
      <c r="B6" s="8" t="n"/>
      <c r="C6" s="8" t="n"/>
      <c r="D6" s="8" t="n"/>
    </row>
    <row r="7">
      <c r="A7" s="8" t="n"/>
      <c r="B7" s="8" t="n"/>
      <c r="C7" s="8" t="n"/>
      <c r="D7" s="8" t="n"/>
    </row>
    <row r="8">
      <c r="A8" s="8" t="n"/>
      <c r="B8" s="8" t="n"/>
      <c r="C8" s="8" t="n"/>
      <c r="D8" s="8" t="n"/>
    </row>
    <row r="9">
      <c r="A9" s="8" t="n"/>
      <c r="B9" s="8" t="n"/>
      <c r="C9" s="8" t="n"/>
      <c r="D9" s="8" t="n"/>
    </row>
    <row r="10">
      <c r="A10" s="8" t="n"/>
      <c r="B10" s="8" t="n"/>
      <c r="C10" s="8" t="n"/>
      <c r="D10" s="8" t="n"/>
    </row>
    <row r="11">
      <c r="A11" s="8" t="n"/>
      <c r="B11" s="8" t="n"/>
      <c r="C11" s="8" t="n"/>
      <c r="D11" s="8" t="n"/>
    </row>
    <row r="12">
      <c r="A12" s="8" t="n"/>
      <c r="B12" s="8" t="n"/>
      <c r="C12" s="8" t="n"/>
      <c r="D12" s="8" t="n"/>
    </row>
    <row r="13">
      <c r="A13" s="8" t="n"/>
      <c r="B13" s="8" t="n"/>
      <c r="C13" s="8" t="n"/>
      <c r="D13" s="8" t="n"/>
    </row>
    <row r="14">
      <c r="A14" s="8" t="n"/>
      <c r="B14" s="8" t="n"/>
      <c r="C14" s="8" t="n"/>
      <c r="D14" s="8" t="n"/>
    </row>
    <row r="15">
      <c r="A15" s="8" t="n"/>
      <c r="B15" s="8" t="n"/>
      <c r="C15" s="8" t="n"/>
      <c r="D15" s="8" t="n"/>
    </row>
    <row r="16">
      <c r="A16" s="8" t="n"/>
      <c r="B16" s="8" t="n"/>
      <c r="C16" s="8" t="n"/>
      <c r="D16" s="8" t="n"/>
    </row>
    <row r="17">
      <c r="A17" s="8" t="n"/>
      <c r="B17" s="8" t="n"/>
      <c r="C17" s="8" t="n"/>
      <c r="D17" s="8" t="n"/>
    </row>
    <row r="18">
      <c r="A18" s="8" t="n"/>
      <c r="B18" s="8" t="n"/>
      <c r="C18" s="8" t="n"/>
      <c r="D18" s="8" t="n"/>
    </row>
    <row r="19">
      <c r="A19" s="8" t="n"/>
      <c r="B19" s="8" t="n"/>
      <c r="C19" s="8" t="n"/>
      <c r="D19" s="8" t="n"/>
    </row>
    <row r="20">
      <c r="A20" s="8" t="n"/>
      <c r="B20" s="8" t="n"/>
      <c r="C20" s="8" t="n"/>
      <c r="D20" s="8" t="n"/>
    </row>
    <row r="21">
      <c r="A21" s="8" t="n"/>
      <c r="B21" s="8" t="n"/>
      <c r="C21" s="8" t="n"/>
      <c r="D21" s="8" t="n"/>
    </row>
    <row r="22">
      <c r="A22" s="8" t="n"/>
      <c r="B22" s="8" t="n"/>
      <c r="C22" s="8" t="n"/>
      <c r="D22" s="8" t="n"/>
    </row>
    <row r="23">
      <c r="A23" s="8" t="n"/>
      <c r="B23" s="8" t="n"/>
      <c r="C23" s="8" t="n"/>
      <c r="D23" s="8" t="n"/>
    </row>
    <row r="24">
      <c r="A24" s="8" t="n"/>
      <c r="B24" s="8" t="n"/>
      <c r="C24" s="8" t="n"/>
      <c r="D24" s="8" t="n"/>
    </row>
    <row r="25">
      <c r="A25" s="8" t="n"/>
      <c r="B25" s="8" t="n"/>
      <c r="C25" s="8" t="n"/>
      <c r="D25" s="8" t="n"/>
    </row>
    <row r="26">
      <c r="A26" s="8" t="n"/>
      <c r="B26" s="8" t="n"/>
      <c r="C26" s="8" t="n"/>
      <c r="D26" s="8" t="n"/>
    </row>
    <row r="27">
      <c r="A27" s="8" t="n"/>
      <c r="B27" s="8" t="n"/>
      <c r="C27" s="8" t="n"/>
      <c r="D27" s="8" t="n"/>
    </row>
    <row r="28">
      <c r="A28" s="8" t="n"/>
      <c r="B28" s="8" t="n"/>
      <c r="C28" s="8" t="n"/>
      <c r="D28" s="8" t="n"/>
    </row>
    <row r="29">
      <c r="A29" s="8" t="n"/>
      <c r="B29" s="8" t="n"/>
      <c r="C29" s="8" t="n"/>
      <c r="D29" s="8" t="n"/>
    </row>
    <row r="30">
      <c r="A30" s="8" t="n"/>
      <c r="B30" s="8" t="n"/>
      <c r="C30" s="8" t="n"/>
      <c r="D30" s="8" t="n"/>
    </row>
    <row r="31">
      <c r="A31" s="8" t="n"/>
      <c r="B31" s="8" t="n"/>
      <c r="C31" s="8" t="n"/>
      <c r="D31" s="8" t="n"/>
    </row>
    <row r="32">
      <c r="A32" s="8" t="n"/>
      <c r="B32" s="8" t="n"/>
      <c r="C32" s="8" t="n"/>
      <c r="D32" s="8" t="n"/>
    </row>
    <row r="33">
      <c r="A33" s="8" t="n"/>
      <c r="B33" s="8" t="n"/>
      <c r="C33" s="8" t="n"/>
      <c r="D33" s="8" t="n"/>
    </row>
    <row r="34">
      <c r="A34" s="8" t="n"/>
      <c r="B34" s="8" t="n"/>
      <c r="C34" s="8" t="n"/>
      <c r="D34" s="8" t="n"/>
    </row>
    <row r="35">
      <c r="A35" s="8" t="n"/>
      <c r="B35" s="8" t="n"/>
      <c r="C35" s="8" t="n"/>
      <c r="D35" s="8" t="n"/>
    </row>
    <row r="36">
      <c r="A36" s="8" t="n"/>
      <c r="B36" s="8" t="n"/>
      <c r="C36" s="8" t="n"/>
      <c r="D36" s="8" t="n"/>
    </row>
    <row r="37">
      <c r="A37" s="8" t="n"/>
      <c r="B37" s="8" t="n"/>
      <c r="C37" s="8" t="n"/>
      <c r="D37" s="8" t="n"/>
    </row>
    <row r="38">
      <c r="A38" s="8" t="n"/>
      <c r="B38" s="8" t="n"/>
      <c r="C38" s="8" t="n"/>
      <c r="D38" s="8" t="n"/>
    </row>
    <row r="39">
      <c r="A39" s="8" t="n"/>
      <c r="B39" s="8" t="n"/>
      <c r="C39" s="8" t="n"/>
      <c r="D39" s="8" t="n"/>
    </row>
    <row r="40">
      <c r="A40" s="8" t="n"/>
      <c r="B40" s="8" t="n"/>
      <c r="C40" s="8" t="n"/>
      <c r="D40" s="8" t="n"/>
    </row>
    <row r="41">
      <c r="A41" s="8" t="n"/>
      <c r="B41" s="8" t="n"/>
      <c r="C41" s="8" t="n"/>
      <c r="D41" s="8" t="n"/>
    </row>
    <row r="42">
      <c r="A42" s="8" t="n"/>
      <c r="B42" s="8" t="n"/>
      <c r="C42" s="8" t="n"/>
      <c r="D42" s="8" t="n"/>
    </row>
    <row r="43">
      <c r="A43" s="8" t="n"/>
      <c r="B43" s="8" t="n"/>
      <c r="C43" s="8" t="n"/>
      <c r="D43" s="8" t="n"/>
    </row>
    <row r="44">
      <c r="A44" s="8" t="n"/>
      <c r="B44" s="8" t="n"/>
      <c r="C44" s="8" t="n"/>
      <c r="D44" s="8" t="n"/>
    </row>
    <row r="45">
      <c r="A45" s="8" t="n"/>
      <c r="B45" s="8" t="n"/>
      <c r="C45" s="8" t="n"/>
      <c r="D45" s="8" t="n"/>
    </row>
    <row r="46">
      <c r="A46" s="8" t="n"/>
      <c r="B46" s="8" t="n"/>
      <c r="C46" s="8" t="n"/>
      <c r="D46" s="8" t="n"/>
    </row>
    <row r="47">
      <c r="A47" s="8" t="n"/>
      <c r="B47" s="8" t="n"/>
      <c r="C47" s="8" t="n"/>
      <c r="D47" s="8" t="n"/>
    </row>
    <row r="48">
      <c r="A48" s="8" t="n"/>
      <c r="B48" s="8" t="n"/>
      <c r="C48" s="8" t="n"/>
      <c r="D48" s="8" t="n"/>
    </row>
    <row r="49">
      <c r="A49" s="8" t="n"/>
      <c r="B49" s="8" t="n"/>
      <c r="C49" s="8" t="n"/>
      <c r="D49" s="8" t="n"/>
    </row>
    <row r="50">
      <c r="A50" s="8" t="n"/>
      <c r="B50" s="8" t="n"/>
      <c r="C50" s="8" t="n"/>
      <c r="D50" s="8" t="n"/>
    </row>
    <row r="51">
      <c r="A51" s="8" t="n"/>
      <c r="B51" s="8" t="n"/>
      <c r="C51" s="8" t="n"/>
      <c r="D51" s="8" t="n"/>
    </row>
    <row r="52">
      <c r="A52" s="8" t="n"/>
      <c r="B52" s="8" t="n"/>
      <c r="C52" s="8" t="n"/>
      <c r="D52" s="8" t="n"/>
    </row>
    <row r="53">
      <c r="A53" s="8" t="n"/>
      <c r="B53" s="8" t="n"/>
      <c r="C53" s="8" t="n"/>
      <c r="D53" s="8" t="n"/>
    </row>
    <row r="54">
      <c r="A54" s="8" t="n"/>
      <c r="B54" s="8" t="n"/>
      <c r="C54" s="8" t="n"/>
      <c r="D54" s="8" t="n"/>
    </row>
    <row r="55">
      <c r="A55" s="8" t="n"/>
      <c r="B55" s="8" t="n"/>
      <c r="C55" s="8" t="n"/>
      <c r="D55" s="8" t="n"/>
    </row>
    <row r="56">
      <c r="A56" s="8" t="n"/>
      <c r="B56" s="8" t="n"/>
      <c r="C56" s="8" t="n"/>
      <c r="D56" s="8" t="n"/>
    </row>
    <row r="57">
      <c r="A57" s="8" t="n"/>
      <c r="B57" s="8" t="n"/>
      <c r="C57" s="8" t="n"/>
      <c r="D57" s="8" t="n"/>
    </row>
    <row r="58">
      <c r="A58" s="8" t="n"/>
      <c r="B58" s="8" t="n"/>
      <c r="C58" s="8" t="n"/>
      <c r="D58" s="8" t="n"/>
    </row>
    <row r="59">
      <c r="A59" s="8" t="n"/>
      <c r="B59" s="8" t="n"/>
      <c r="C59" s="8" t="n"/>
      <c r="D59" s="8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26" customWidth="1" min="3" max="3"/>
    <col width="44" customWidth="1" min="4" max="4"/>
  </cols>
  <sheetData>
    <row r="1" ht="26" customHeight="1">
      <c r="A1" s="6" t="inlineStr">
        <is>
          <t>ID</t>
        </is>
      </c>
      <c r="B1" s="6" t="inlineStr">
        <is>
          <t>Process group</t>
        </is>
      </c>
      <c r="C1" s="6" t="inlineStr">
        <is>
          <t>Owning product owner</t>
        </is>
      </c>
      <c r="D1" s="6" t="inlineStr">
        <is>
          <t>Notes</t>
        </is>
      </c>
    </row>
    <row r="2">
      <c r="A2" s="9" t="inlineStr">
        <is>
          <t>PG-01</t>
        </is>
      </c>
      <c r="B2" s="9" t="inlineStr">
        <is>
          <t>Work Intake &amp; Triage</t>
        </is>
      </c>
      <c r="C2" s="9" t="inlineStr">
        <is>
          <t>Dana Whitfield</t>
        </is>
      </c>
      <c r="D2" s="9" t="inlineStr">
        <is>
          <t>EXAMPLE — delete before use</t>
        </is>
      </c>
    </row>
    <row r="3">
      <c r="A3" s="8" t="n"/>
      <c r="B3" s="8" t="n"/>
      <c r="C3" s="8" t="n"/>
      <c r="D3" s="8" t="n"/>
    </row>
    <row r="4">
      <c r="A4" s="8" t="n"/>
      <c r="B4" s="8" t="n"/>
      <c r="C4" s="8" t="n"/>
      <c r="D4" s="8" t="n"/>
    </row>
    <row r="5">
      <c r="A5" s="8" t="n"/>
      <c r="B5" s="8" t="n"/>
      <c r="C5" s="8" t="n"/>
      <c r="D5" s="8" t="n"/>
    </row>
    <row r="6">
      <c r="A6" s="8" t="n"/>
      <c r="B6" s="8" t="n"/>
      <c r="C6" s="8" t="n"/>
      <c r="D6" s="8" t="n"/>
    </row>
    <row r="7">
      <c r="A7" s="8" t="n"/>
      <c r="B7" s="8" t="n"/>
      <c r="C7" s="8" t="n"/>
      <c r="D7" s="8" t="n"/>
    </row>
    <row r="8">
      <c r="A8" s="8" t="n"/>
      <c r="B8" s="8" t="n"/>
      <c r="C8" s="8" t="n"/>
      <c r="D8" s="8" t="n"/>
    </row>
    <row r="9">
      <c r="A9" s="8" t="n"/>
      <c r="B9" s="8" t="n"/>
      <c r="C9" s="8" t="n"/>
      <c r="D9" s="8" t="n"/>
    </row>
    <row r="10">
      <c r="A10" s="8" t="n"/>
      <c r="B10" s="8" t="n"/>
      <c r="C10" s="8" t="n"/>
      <c r="D10" s="8" t="n"/>
    </row>
    <row r="11">
      <c r="A11" s="8" t="n"/>
      <c r="B11" s="8" t="n"/>
      <c r="C11" s="8" t="n"/>
      <c r="D11" s="8" t="n"/>
    </row>
    <row r="12">
      <c r="A12" s="8" t="n"/>
      <c r="B12" s="8" t="n"/>
      <c r="C12" s="8" t="n"/>
      <c r="D12" s="8" t="n"/>
    </row>
    <row r="13">
      <c r="A13" s="8" t="n"/>
      <c r="B13" s="8" t="n"/>
      <c r="C13" s="8" t="n"/>
      <c r="D13" s="8" t="n"/>
    </row>
    <row r="14">
      <c r="A14" s="8" t="n"/>
      <c r="B14" s="8" t="n"/>
      <c r="C14" s="8" t="n"/>
      <c r="D14" s="8" t="n"/>
    </row>
    <row r="15">
      <c r="A15" s="8" t="n"/>
      <c r="B15" s="8" t="n"/>
      <c r="C15" s="8" t="n"/>
      <c r="D15" s="8" t="n"/>
    </row>
    <row r="16">
      <c r="A16" s="8" t="n"/>
      <c r="B16" s="8" t="n"/>
      <c r="C16" s="8" t="n"/>
      <c r="D16" s="8" t="n"/>
    </row>
    <row r="17">
      <c r="A17" s="8" t="n"/>
      <c r="B17" s="8" t="n"/>
      <c r="C17" s="8" t="n"/>
      <c r="D17" s="8" t="n"/>
    </row>
    <row r="18">
      <c r="A18" s="8" t="n"/>
      <c r="B18" s="8" t="n"/>
      <c r="C18" s="8" t="n"/>
      <c r="D18" s="8" t="n"/>
    </row>
    <row r="19">
      <c r="A19" s="8" t="n"/>
      <c r="B19" s="8" t="n"/>
      <c r="C19" s="8" t="n"/>
      <c r="D19" s="8" t="n"/>
    </row>
    <row r="20">
      <c r="A20" s="8" t="n"/>
      <c r="B20" s="8" t="n"/>
      <c r="C20" s="8" t="n"/>
      <c r="D20" s="8" t="n"/>
    </row>
    <row r="21">
      <c r="A21" s="8" t="n"/>
      <c r="B21" s="8" t="n"/>
      <c r="C21" s="8" t="n"/>
      <c r="D21" s="8" t="n"/>
    </row>
    <row r="22">
      <c r="A22" s="8" t="n"/>
      <c r="B22" s="8" t="n"/>
      <c r="C22" s="8" t="n"/>
      <c r="D22" s="8" t="n"/>
    </row>
    <row r="23">
      <c r="A23" s="8" t="n"/>
      <c r="B23" s="8" t="n"/>
      <c r="C23" s="8" t="n"/>
      <c r="D23" s="8" t="n"/>
    </row>
    <row r="24">
      <c r="A24" s="8" t="n"/>
      <c r="B24" s="8" t="n"/>
      <c r="C24" s="8" t="n"/>
      <c r="D24" s="8" t="n"/>
    </row>
    <row r="25">
      <c r="A25" s="8" t="n"/>
      <c r="B25" s="8" t="n"/>
      <c r="C25" s="8" t="n"/>
      <c r="D25" s="8" t="n"/>
    </row>
    <row r="26">
      <c r="A26" s="8" t="n"/>
      <c r="B26" s="8" t="n"/>
      <c r="C26" s="8" t="n"/>
      <c r="D26" s="8" t="n"/>
    </row>
    <row r="27">
      <c r="A27" s="8" t="n"/>
      <c r="B27" s="8" t="n"/>
      <c r="C27" s="8" t="n"/>
      <c r="D27" s="8" t="n"/>
    </row>
    <row r="28">
      <c r="A28" s="8" t="n"/>
      <c r="B28" s="8" t="n"/>
      <c r="C28" s="8" t="n"/>
      <c r="D28" s="8" t="n"/>
    </row>
    <row r="29">
      <c r="A29" s="8" t="n"/>
      <c r="B29" s="8" t="n"/>
      <c r="C29" s="8" t="n"/>
      <c r="D29" s="8" t="n"/>
    </row>
    <row r="30">
      <c r="A30" s="8" t="n"/>
      <c r="B30" s="8" t="n"/>
      <c r="C30" s="8" t="n"/>
      <c r="D30" s="8" t="n"/>
    </row>
    <row r="31">
      <c r="A31" s="8" t="n"/>
      <c r="B31" s="8" t="n"/>
      <c r="C31" s="8" t="n"/>
      <c r="D31" s="8" t="n"/>
    </row>
    <row r="32">
      <c r="A32" s="8" t="n"/>
      <c r="B32" s="8" t="n"/>
      <c r="C32" s="8" t="n"/>
      <c r="D32" s="8" t="n"/>
    </row>
    <row r="33">
      <c r="A33" s="8" t="n"/>
      <c r="B33" s="8" t="n"/>
      <c r="C33" s="8" t="n"/>
      <c r="D33" s="8" t="n"/>
    </row>
    <row r="34">
      <c r="A34" s="8" t="n"/>
      <c r="B34" s="8" t="n"/>
      <c r="C34" s="8" t="n"/>
      <c r="D34" s="8" t="n"/>
    </row>
    <row r="35">
      <c r="A35" s="8" t="n"/>
      <c r="B35" s="8" t="n"/>
      <c r="C35" s="8" t="n"/>
      <c r="D35" s="8" t="n"/>
    </row>
    <row r="36">
      <c r="A36" s="8" t="n"/>
      <c r="B36" s="8" t="n"/>
      <c r="C36" s="8" t="n"/>
      <c r="D36" s="8" t="n"/>
    </row>
    <row r="37">
      <c r="A37" s="8" t="n"/>
      <c r="B37" s="8" t="n"/>
      <c r="C37" s="8" t="n"/>
      <c r="D37" s="8" t="n"/>
    </row>
    <row r="38">
      <c r="A38" s="8" t="n"/>
      <c r="B38" s="8" t="n"/>
      <c r="C38" s="8" t="n"/>
      <c r="D38" s="8" t="n"/>
    </row>
    <row r="39">
      <c r="A39" s="8" t="n"/>
      <c r="B39" s="8" t="n"/>
      <c r="C39" s="8" t="n"/>
      <c r="D39" s="8" t="n"/>
    </row>
    <row r="40">
      <c r="A40" s="8" t="n"/>
      <c r="B40" s="8" t="n"/>
      <c r="C40" s="8" t="n"/>
      <c r="D40" s="8" t="n"/>
    </row>
    <row r="41">
      <c r="A41" s="8" t="n"/>
      <c r="B41" s="8" t="n"/>
      <c r="C41" s="8" t="n"/>
      <c r="D41" s="8" t="n"/>
    </row>
    <row r="42">
      <c r="A42" s="8" t="n"/>
      <c r="B42" s="8" t="n"/>
      <c r="C42" s="8" t="n"/>
      <c r="D42" s="8" t="n"/>
    </row>
    <row r="43">
      <c r="A43" s="8" t="n"/>
      <c r="B43" s="8" t="n"/>
      <c r="C43" s="8" t="n"/>
      <c r="D43" s="8" t="n"/>
    </row>
    <row r="44">
      <c r="A44" s="8" t="n"/>
      <c r="B44" s="8" t="n"/>
      <c r="C44" s="8" t="n"/>
      <c r="D44" s="8" t="n"/>
    </row>
    <row r="45">
      <c r="A45" s="8" t="n"/>
      <c r="B45" s="8" t="n"/>
      <c r="C45" s="8" t="n"/>
      <c r="D45" s="8" t="n"/>
    </row>
    <row r="46">
      <c r="A46" s="8" t="n"/>
      <c r="B46" s="8" t="n"/>
      <c r="C46" s="8" t="n"/>
      <c r="D46" s="8" t="n"/>
    </row>
    <row r="47">
      <c r="A47" s="8" t="n"/>
      <c r="B47" s="8" t="n"/>
      <c r="C47" s="8" t="n"/>
      <c r="D47" s="8" t="n"/>
    </row>
    <row r="48">
      <c r="A48" s="8" t="n"/>
      <c r="B48" s="8" t="n"/>
      <c r="C48" s="8" t="n"/>
      <c r="D48" s="8" t="n"/>
    </row>
    <row r="49">
      <c r="A49" s="8" t="n"/>
      <c r="B49" s="8" t="n"/>
      <c r="C49" s="8" t="n"/>
      <c r="D49" s="8" t="n"/>
    </row>
    <row r="50">
      <c r="A50" s="8" t="n"/>
      <c r="B50" s="8" t="n"/>
      <c r="C50" s="8" t="n"/>
      <c r="D50" s="8" t="n"/>
    </row>
    <row r="51">
      <c r="A51" s="8" t="n"/>
      <c r="B51" s="8" t="n"/>
      <c r="C51" s="8" t="n"/>
      <c r="D51" s="8" t="n"/>
    </row>
    <row r="52">
      <c r="A52" s="8" t="n"/>
      <c r="B52" s="8" t="n"/>
      <c r="C52" s="8" t="n"/>
      <c r="D52" s="8" t="n"/>
    </row>
    <row r="53">
      <c r="A53" s="8" t="n"/>
      <c r="B53" s="8" t="n"/>
      <c r="C53" s="8" t="n"/>
      <c r="D53" s="8" t="n"/>
    </row>
    <row r="54">
      <c r="A54" s="8" t="n"/>
      <c r="B54" s="8" t="n"/>
      <c r="C54" s="8" t="n"/>
      <c r="D54" s="8" t="n"/>
    </row>
    <row r="55">
      <c r="A55" s="8" t="n"/>
      <c r="B55" s="8" t="n"/>
      <c r="C55" s="8" t="n"/>
      <c r="D55" s="8" t="n"/>
    </row>
    <row r="56">
      <c r="A56" s="8" t="n"/>
      <c r="B56" s="8" t="n"/>
      <c r="C56" s="8" t="n"/>
      <c r="D56" s="8" t="n"/>
    </row>
    <row r="57">
      <c r="A57" s="8" t="n"/>
      <c r="B57" s="8" t="n"/>
      <c r="C57" s="8" t="n"/>
      <c r="D57" s="8" t="n"/>
    </row>
    <row r="58">
      <c r="A58" s="8" t="n"/>
      <c r="B58" s="8" t="n"/>
      <c r="C58" s="8" t="n"/>
      <c r="D58" s="8" t="n"/>
    </row>
    <row r="59">
      <c r="A59" s="8" t="n"/>
      <c r="B59" s="8" t="n"/>
      <c r="C59" s="8" t="n"/>
      <c r="D59" s="8" t="n"/>
    </row>
    <row r="60">
      <c r="A60" s="8" t="n"/>
      <c r="B60" s="8" t="n"/>
      <c r="C60" s="8" t="n"/>
      <c r="D60" s="8" t="n"/>
    </row>
    <row r="61">
      <c r="A61" s="8" t="n"/>
      <c r="B61" s="8" t="n"/>
      <c r="C61" s="8" t="n"/>
      <c r="D61" s="8" t="n"/>
    </row>
    <row r="62">
      <c r="A62" s="8" t="n"/>
      <c r="B62" s="8" t="n"/>
      <c r="C62" s="8" t="n"/>
      <c r="D62" s="8" t="n"/>
    </row>
    <row r="63">
      <c r="A63" s="8" t="n"/>
      <c r="B63" s="8" t="n"/>
      <c r="C63" s="8" t="n"/>
      <c r="D63" s="8" t="n"/>
    </row>
    <row r="64">
      <c r="A64" s="8" t="n"/>
      <c r="B64" s="8" t="n"/>
      <c r="C64" s="8" t="n"/>
      <c r="D64" s="8" t="n"/>
    </row>
    <row r="65">
      <c r="A65" s="8" t="n"/>
      <c r="B65" s="8" t="n"/>
      <c r="C65" s="8" t="n"/>
      <c r="D65" s="8" t="n"/>
    </row>
    <row r="66">
      <c r="A66" s="8" t="n"/>
      <c r="B66" s="8" t="n"/>
      <c r="C66" s="8" t="n"/>
      <c r="D66" s="8" t="n"/>
    </row>
    <row r="67">
      <c r="A67" s="8" t="n"/>
      <c r="B67" s="8" t="n"/>
      <c r="C67" s="8" t="n"/>
      <c r="D67" s="8" t="n"/>
    </row>
    <row r="68">
      <c r="A68" s="8" t="n"/>
      <c r="B68" s="8" t="n"/>
      <c r="C68" s="8" t="n"/>
      <c r="D68" s="8" t="n"/>
    </row>
    <row r="69">
      <c r="A69" s="8" t="n"/>
      <c r="B69" s="8" t="n"/>
      <c r="C69" s="8" t="n"/>
      <c r="D69" s="8" t="n"/>
    </row>
    <row r="70">
      <c r="A70" s="8" t="n"/>
      <c r="B70" s="8" t="n"/>
      <c r="C70" s="8" t="n"/>
      <c r="D70" s="8" t="n"/>
    </row>
    <row r="71">
      <c r="A71" s="8" t="n"/>
      <c r="B71" s="8" t="n"/>
      <c r="C71" s="8" t="n"/>
      <c r="D71" s="8" t="n"/>
    </row>
    <row r="72">
      <c r="A72" s="8" t="n"/>
      <c r="B72" s="8" t="n"/>
      <c r="C72" s="8" t="n"/>
      <c r="D72" s="8" t="n"/>
    </row>
    <row r="73">
      <c r="A73" s="8" t="n"/>
      <c r="B73" s="8" t="n"/>
      <c r="C73" s="8" t="n"/>
      <c r="D73" s="8" t="n"/>
    </row>
    <row r="74">
      <c r="A74" s="8" t="n"/>
      <c r="B74" s="8" t="n"/>
      <c r="C74" s="8" t="n"/>
      <c r="D74" s="8" t="n"/>
    </row>
    <row r="75">
      <c r="A75" s="8" t="n"/>
      <c r="B75" s="8" t="n"/>
      <c r="C75" s="8" t="n"/>
      <c r="D75" s="8" t="n"/>
    </row>
    <row r="76">
      <c r="A76" s="8" t="n"/>
      <c r="B76" s="8" t="n"/>
      <c r="C76" s="8" t="n"/>
      <c r="D76" s="8" t="n"/>
    </row>
    <row r="77">
      <c r="A77" s="8" t="n"/>
      <c r="B77" s="8" t="n"/>
      <c r="C77" s="8" t="n"/>
      <c r="D77" s="8" t="n"/>
    </row>
    <row r="78">
      <c r="A78" s="8" t="n"/>
      <c r="B78" s="8" t="n"/>
      <c r="C78" s="8" t="n"/>
      <c r="D78" s="8" t="n"/>
    </row>
    <row r="79">
      <c r="A79" s="8" t="n"/>
      <c r="B79" s="8" t="n"/>
      <c r="C79" s="8" t="n"/>
      <c r="D79" s="8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15" customWidth="1" min="3" max="3"/>
    <col width="34" customWidth="1" min="4" max="4"/>
    <col width="14" customWidth="1" min="5" max="5"/>
    <col width="22" customWidth="1" min="6" max="6"/>
    <col width="13" customWidth="1" min="7" max="7"/>
    <col width="13" customWidth="1" min="8" max="8"/>
    <col width="13" customWidth="1" min="9" max="9"/>
    <col width="13" customWidth="1" min="10" max="10"/>
    <col width="14" customWidth="1" min="11" max="11"/>
  </cols>
  <sheetData>
    <row r="1" ht="26" customHeight="1">
      <c r="A1" s="6" t="inlineStr">
        <is>
          <t>Process group ID</t>
        </is>
      </c>
      <c r="B1" s="6" t="inlineStr">
        <is>
          <t>Horizon</t>
        </is>
      </c>
      <c r="C1" s="6" t="inlineStr">
        <is>
          <t>Track</t>
        </is>
      </c>
      <c r="D1" s="6" t="inlineStr">
        <is>
          <t>Activity</t>
        </is>
      </c>
      <c r="E1" s="6" t="inlineStr">
        <is>
          <t>Type</t>
        </is>
      </c>
      <c r="F1" s="6" t="inlineStr">
        <is>
          <t>Owner</t>
        </is>
      </c>
      <c r="G1" s="6" t="inlineStr">
        <is>
          <t>Start sprint</t>
        </is>
      </c>
      <c r="H1" s="6" t="inlineStr">
        <is>
          <t>Sprints long</t>
        </is>
      </c>
      <c r="I1" s="6" t="inlineStr">
        <is>
          <t>Start date</t>
        </is>
      </c>
      <c r="J1" s="6" t="inlineStr">
        <is>
          <t>End date</t>
        </is>
      </c>
      <c r="K1" s="6" t="inlineStr">
        <is>
          <t>Design stage</t>
        </is>
      </c>
    </row>
    <row r="2">
      <c r="A2" s="9" t="inlineStr">
        <is>
          <t>PG-01</t>
        </is>
      </c>
      <c r="B2" s="9" t="inlineStr">
        <is>
          <t>Future-State Discovery</t>
        </is>
      </c>
      <c r="C2" s="9" t="inlineStr">
        <is>
          <t>UX</t>
        </is>
      </c>
      <c r="D2" s="9" t="inlineStr">
        <is>
          <t>Generative research</t>
        </is>
      </c>
      <c r="E2" s="9" t="inlineStr">
        <is>
          <t>Research</t>
        </is>
      </c>
      <c r="F2" s="9" t="inlineStr">
        <is>
          <t>Tom Okafor</t>
        </is>
      </c>
      <c r="G2" s="9" t="inlineStr">
        <is>
          <t>S1</t>
        </is>
      </c>
      <c r="H2" s="9" t="n">
        <v>3</v>
      </c>
      <c r="I2" s="10">
        <f>IFERROR(INDEX(Sprints!$B$2:$B$60,MATCH(G2,Sprints!$A$2:$A$60,0)),"")</f>
        <v/>
      </c>
      <c r="J2" s="10">
        <f>IFERROR(INDEX(Sprints!$C$2:$C$60,MATCH(G2,Sprints!$A$2:$A$60,0)+H2-1),"")</f>
        <v/>
      </c>
      <c r="K2" s="10">
        <f>IFERROR(INDEX(Lists!$E$2:$E$40,MATCH(E2,Lists!$D$2:$D$40,0)),"")</f>
        <v/>
      </c>
    </row>
    <row r="3">
      <c r="A3" s="9" t="inlineStr">
        <is>
          <t>PG-01</t>
        </is>
      </c>
      <c r="B3" s="9" t="inlineStr">
        <is>
          <t>MVP Delivery</t>
        </is>
      </c>
      <c r="C3" s="9" t="inlineStr">
        <is>
          <t>Product owner</t>
        </is>
      </c>
      <c r="D3" s="9" t="inlineStr">
        <is>
          <t>Acceptance criteria</t>
        </is>
      </c>
      <c r="E3" s="9" t="inlineStr">
        <is>
          <t>Sign-off</t>
        </is>
      </c>
      <c r="F3" s="9" t="inlineStr">
        <is>
          <t>Dana Whitfield</t>
        </is>
      </c>
      <c r="G3" s="9" t="inlineStr">
        <is>
          <t>S5</t>
        </is>
      </c>
      <c r="H3" s="9" t="n">
        <v>2</v>
      </c>
      <c r="I3" s="10">
        <f>IFERROR(INDEX(Sprints!$B$2:$B$60,MATCH(G3,Sprints!$A$2:$A$60,0)),"")</f>
        <v/>
      </c>
      <c r="J3" s="10">
        <f>IFERROR(INDEX(Sprints!$C$2:$C$60,MATCH(G3,Sprints!$A$2:$A$60,0)+H3-1),"")</f>
        <v/>
      </c>
      <c r="K3" s="10">
        <f>IFERROR(INDEX(Lists!$E$2:$E$40,MATCH(E3,Lists!$D$2:$D$40,0)),"")</f>
        <v/>
      </c>
    </row>
    <row r="4">
      <c r="A4" s="9" t="inlineStr">
        <is>
          <t>PG-01</t>
        </is>
      </c>
      <c r="B4" s="9" t="inlineStr">
        <is>
          <t>MVP Delivery</t>
        </is>
      </c>
      <c r="C4" s="9" t="inlineStr">
        <is>
          <t>UX</t>
        </is>
      </c>
      <c r="D4" s="9" t="inlineStr">
        <is>
          <t>Wireframes</t>
        </is>
      </c>
      <c r="E4" s="9" t="inlineStr">
        <is>
          <t>Design</t>
        </is>
      </c>
      <c r="F4" s="9" t="inlineStr">
        <is>
          <t>Lena Brandt</t>
        </is>
      </c>
      <c r="G4" s="9" t="inlineStr">
        <is>
          <t>S5</t>
        </is>
      </c>
      <c r="H4" s="9" t="n">
        <v>2</v>
      </c>
      <c r="I4" s="10">
        <f>IFERROR(INDEX(Sprints!$B$2:$B$60,MATCH(G4,Sprints!$A$2:$A$60,0)),"")</f>
        <v/>
      </c>
      <c r="J4" s="10">
        <f>IFERROR(INDEX(Sprints!$C$2:$C$60,MATCH(G4,Sprints!$A$2:$A$60,0)+H4-1),"")</f>
        <v/>
      </c>
      <c r="K4" s="10">
        <f>IFERROR(INDEX(Lists!$E$2:$E$40,MATCH(E4,Lists!$D$2:$D$40,0)),"")</f>
        <v/>
      </c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10">
        <f>IFERROR(INDEX(Sprints!$B$2:$B$60,MATCH(G5,Sprints!$A$2:$A$60,0)),"")</f>
        <v/>
      </c>
      <c r="J5" s="10">
        <f>IFERROR(INDEX(Sprints!$C$2:$C$60,MATCH(G5,Sprints!$A$2:$A$60,0)+H5-1),"")</f>
        <v/>
      </c>
      <c r="K5" s="10">
        <f>IFERROR(INDEX(Lists!$E$2:$E$40,MATCH(E5,Lists!$D$2:$D$40,0)),"")</f>
        <v/>
      </c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10">
        <f>IFERROR(INDEX(Sprints!$B$2:$B$60,MATCH(G6,Sprints!$A$2:$A$60,0)),"")</f>
        <v/>
      </c>
      <c r="J6" s="10">
        <f>IFERROR(INDEX(Sprints!$C$2:$C$60,MATCH(G6,Sprints!$A$2:$A$60,0)+H6-1),"")</f>
        <v/>
      </c>
      <c r="K6" s="10">
        <f>IFERROR(INDEX(Lists!$E$2:$E$40,MATCH(E6,Lists!$D$2:$D$40,0)),"")</f>
        <v/>
      </c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10">
        <f>IFERROR(INDEX(Sprints!$B$2:$B$60,MATCH(G7,Sprints!$A$2:$A$60,0)),"")</f>
        <v/>
      </c>
      <c r="J7" s="10">
        <f>IFERROR(INDEX(Sprints!$C$2:$C$60,MATCH(G7,Sprints!$A$2:$A$60,0)+H7-1),"")</f>
        <v/>
      </c>
      <c r="K7" s="10">
        <f>IFERROR(INDEX(Lists!$E$2:$E$40,MATCH(E7,Lists!$D$2:$D$40,0)),"")</f>
        <v/>
      </c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10">
        <f>IFERROR(INDEX(Sprints!$B$2:$B$60,MATCH(G8,Sprints!$A$2:$A$60,0)),"")</f>
        <v/>
      </c>
      <c r="J8" s="10">
        <f>IFERROR(INDEX(Sprints!$C$2:$C$60,MATCH(G8,Sprints!$A$2:$A$60,0)+H8-1),"")</f>
        <v/>
      </c>
      <c r="K8" s="10">
        <f>IFERROR(INDEX(Lists!$E$2:$E$40,MATCH(E8,Lists!$D$2:$D$40,0)),"")</f>
        <v/>
      </c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10">
        <f>IFERROR(INDEX(Sprints!$B$2:$B$60,MATCH(G9,Sprints!$A$2:$A$60,0)),"")</f>
        <v/>
      </c>
      <c r="J9" s="10">
        <f>IFERROR(INDEX(Sprints!$C$2:$C$60,MATCH(G9,Sprints!$A$2:$A$60,0)+H9-1),"")</f>
        <v/>
      </c>
      <c r="K9" s="10">
        <f>IFERROR(INDEX(Lists!$E$2:$E$40,MATCH(E9,Lists!$D$2:$D$40,0)),"")</f>
        <v/>
      </c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10">
        <f>IFERROR(INDEX(Sprints!$B$2:$B$60,MATCH(G10,Sprints!$A$2:$A$60,0)),"")</f>
        <v/>
      </c>
      <c r="J10" s="10">
        <f>IFERROR(INDEX(Sprints!$C$2:$C$60,MATCH(G10,Sprints!$A$2:$A$60,0)+H10-1),"")</f>
        <v/>
      </c>
      <c r="K10" s="10">
        <f>IFERROR(INDEX(Lists!$E$2:$E$40,MATCH(E10,Lists!$D$2:$D$40,0)),"")</f>
        <v/>
      </c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10">
        <f>IFERROR(INDEX(Sprints!$B$2:$B$60,MATCH(G11,Sprints!$A$2:$A$60,0)),"")</f>
        <v/>
      </c>
      <c r="J11" s="10">
        <f>IFERROR(INDEX(Sprints!$C$2:$C$60,MATCH(G11,Sprints!$A$2:$A$60,0)+H11-1),"")</f>
        <v/>
      </c>
      <c r="K11" s="10">
        <f>IFERROR(INDEX(Lists!$E$2:$E$40,MATCH(E11,Lists!$D$2:$D$40,0)),"")</f>
        <v/>
      </c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10">
        <f>IFERROR(INDEX(Sprints!$B$2:$B$60,MATCH(G12,Sprints!$A$2:$A$60,0)),"")</f>
        <v/>
      </c>
      <c r="J12" s="10">
        <f>IFERROR(INDEX(Sprints!$C$2:$C$60,MATCH(G12,Sprints!$A$2:$A$60,0)+H12-1),"")</f>
        <v/>
      </c>
      <c r="K12" s="10">
        <f>IFERROR(INDEX(Lists!$E$2:$E$40,MATCH(E12,Lists!$D$2:$D$40,0)),"")</f>
        <v/>
      </c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10">
        <f>IFERROR(INDEX(Sprints!$B$2:$B$60,MATCH(G13,Sprints!$A$2:$A$60,0)),"")</f>
        <v/>
      </c>
      <c r="J13" s="10">
        <f>IFERROR(INDEX(Sprints!$C$2:$C$60,MATCH(G13,Sprints!$A$2:$A$60,0)+H13-1),"")</f>
        <v/>
      </c>
      <c r="K13" s="10">
        <f>IFERROR(INDEX(Lists!$E$2:$E$40,MATCH(E13,Lists!$D$2:$D$40,0)),"")</f>
        <v/>
      </c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10">
        <f>IFERROR(INDEX(Sprints!$B$2:$B$60,MATCH(G14,Sprints!$A$2:$A$60,0)),"")</f>
        <v/>
      </c>
      <c r="J14" s="10">
        <f>IFERROR(INDEX(Sprints!$C$2:$C$60,MATCH(G14,Sprints!$A$2:$A$60,0)+H14-1),"")</f>
        <v/>
      </c>
      <c r="K14" s="10">
        <f>IFERROR(INDEX(Lists!$E$2:$E$40,MATCH(E14,Lists!$D$2:$D$40,0)),"")</f>
        <v/>
      </c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10">
        <f>IFERROR(INDEX(Sprints!$B$2:$B$60,MATCH(G15,Sprints!$A$2:$A$60,0)),"")</f>
        <v/>
      </c>
      <c r="J15" s="10">
        <f>IFERROR(INDEX(Sprints!$C$2:$C$60,MATCH(G15,Sprints!$A$2:$A$60,0)+H15-1),"")</f>
        <v/>
      </c>
      <c r="K15" s="10">
        <f>IFERROR(INDEX(Lists!$E$2:$E$40,MATCH(E15,Lists!$D$2:$D$40,0)),"")</f>
        <v/>
      </c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10">
        <f>IFERROR(INDEX(Sprints!$B$2:$B$60,MATCH(G16,Sprints!$A$2:$A$60,0)),"")</f>
        <v/>
      </c>
      <c r="J16" s="10">
        <f>IFERROR(INDEX(Sprints!$C$2:$C$60,MATCH(G16,Sprints!$A$2:$A$60,0)+H16-1),"")</f>
        <v/>
      </c>
      <c r="K16" s="10">
        <f>IFERROR(INDEX(Lists!$E$2:$E$40,MATCH(E16,Lists!$D$2:$D$40,0)),"")</f>
        <v/>
      </c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10">
        <f>IFERROR(INDEX(Sprints!$B$2:$B$60,MATCH(G17,Sprints!$A$2:$A$60,0)),"")</f>
        <v/>
      </c>
      <c r="J17" s="10">
        <f>IFERROR(INDEX(Sprints!$C$2:$C$60,MATCH(G17,Sprints!$A$2:$A$60,0)+H17-1),"")</f>
        <v/>
      </c>
      <c r="K17" s="10">
        <f>IFERROR(INDEX(Lists!$E$2:$E$40,MATCH(E17,Lists!$D$2:$D$40,0)),"")</f>
        <v/>
      </c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10">
        <f>IFERROR(INDEX(Sprints!$B$2:$B$60,MATCH(G18,Sprints!$A$2:$A$60,0)),"")</f>
        <v/>
      </c>
      <c r="J18" s="10">
        <f>IFERROR(INDEX(Sprints!$C$2:$C$60,MATCH(G18,Sprints!$A$2:$A$60,0)+H18-1),"")</f>
        <v/>
      </c>
      <c r="K18" s="10">
        <f>IFERROR(INDEX(Lists!$E$2:$E$40,MATCH(E18,Lists!$D$2:$D$40,0)),"")</f>
        <v/>
      </c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10">
        <f>IFERROR(INDEX(Sprints!$B$2:$B$60,MATCH(G19,Sprints!$A$2:$A$60,0)),"")</f>
        <v/>
      </c>
      <c r="J19" s="10">
        <f>IFERROR(INDEX(Sprints!$C$2:$C$60,MATCH(G19,Sprints!$A$2:$A$60,0)+H19-1),"")</f>
        <v/>
      </c>
      <c r="K19" s="10">
        <f>IFERROR(INDEX(Lists!$E$2:$E$40,MATCH(E19,Lists!$D$2:$D$40,0)),"")</f>
        <v/>
      </c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10">
        <f>IFERROR(INDEX(Sprints!$B$2:$B$60,MATCH(G20,Sprints!$A$2:$A$60,0)),"")</f>
        <v/>
      </c>
      <c r="J20" s="10">
        <f>IFERROR(INDEX(Sprints!$C$2:$C$60,MATCH(G20,Sprints!$A$2:$A$60,0)+H20-1),"")</f>
        <v/>
      </c>
      <c r="K20" s="10">
        <f>IFERROR(INDEX(Lists!$E$2:$E$40,MATCH(E20,Lists!$D$2:$D$40,0)),"")</f>
        <v/>
      </c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10">
        <f>IFERROR(INDEX(Sprints!$B$2:$B$60,MATCH(G21,Sprints!$A$2:$A$60,0)),"")</f>
        <v/>
      </c>
      <c r="J21" s="10">
        <f>IFERROR(INDEX(Sprints!$C$2:$C$60,MATCH(G21,Sprints!$A$2:$A$60,0)+H21-1),"")</f>
        <v/>
      </c>
      <c r="K21" s="10">
        <f>IFERROR(INDEX(Lists!$E$2:$E$40,MATCH(E21,Lists!$D$2:$D$40,0)),"")</f>
        <v/>
      </c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10">
        <f>IFERROR(INDEX(Sprints!$B$2:$B$60,MATCH(G22,Sprints!$A$2:$A$60,0)),"")</f>
        <v/>
      </c>
      <c r="J22" s="10">
        <f>IFERROR(INDEX(Sprints!$C$2:$C$60,MATCH(G22,Sprints!$A$2:$A$60,0)+H22-1),"")</f>
        <v/>
      </c>
      <c r="K22" s="10">
        <f>IFERROR(INDEX(Lists!$E$2:$E$40,MATCH(E22,Lists!$D$2:$D$40,0)),"")</f>
        <v/>
      </c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10">
        <f>IFERROR(INDEX(Sprints!$B$2:$B$60,MATCH(G23,Sprints!$A$2:$A$60,0)),"")</f>
        <v/>
      </c>
      <c r="J23" s="10">
        <f>IFERROR(INDEX(Sprints!$C$2:$C$60,MATCH(G23,Sprints!$A$2:$A$60,0)+H23-1),"")</f>
        <v/>
      </c>
      <c r="K23" s="10">
        <f>IFERROR(INDEX(Lists!$E$2:$E$40,MATCH(E23,Lists!$D$2:$D$40,0)),"")</f>
        <v/>
      </c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10">
        <f>IFERROR(INDEX(Sprints!$B$2:$B$60,MATCH(G24,Sprints!$A$2:$A$60,0)),"")</f>
        <v/>
      </c>
      <c r="J24" s="10">
        <f>IFERROR(INDEX(Sprints!$C$2:$C$60,MATCH(G24,Sprints!$A$2:$A$60,0)+H24-1),"")</f>
        <v/>
      </c>
      <c r="K24" s="10">
        <f>IFERROR(INDEX(Lists!$E$2:$E$40,MATCH(E24,Lists!$D$2:$D$40,0)),"")</f>
        <v/>
      </c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10">
        <f>IFERROR(INDEX(Sprints!$B$2:$B$60,MATCH(G25,Sprints!$A$2:$A$60,0)),"")</f>
        <v/>
      </c>
      <c r="J25" s="10">
        <f>IFERROR(INDEX(Sprints!$C$2:$C$60,MATCH(G25,Sprints!$A$2:$A$60,0)+H25-1),"")</f>
        <v/>
      </c>
      <c r="K25" s="10">
        <f>IFERROR(INDEX(Lists!$E$2:$E$40,MATCH(E25,Lists!$D$2:$D$40,0)),"")</f>
        <v/>
      </c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10">
        <f>IFERROR(INDEX(Sprints!$B$2:$B$60,MATCH(G26,Sprints!$A$2:$A$60,0)),"")</f>
        <v/>
      </c>
      <c r="J26" s="10">
        <f>IFERROR(INDEX(Sprints!$C$2:$C$60,MATCH(G26,Sprints!$A$2:$A$60,0)+H26-1),"")</f>
        <v/>
      </c>
      <c r="K26" s="10">
        <f>IFERROR(INDEX(Lists!$E$2:$E$40,MATCH(E26,Lists!$D$2:$D$40,0)),"")</f>
        <v/>
      </c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10">
        <f>IFERROR(INDEX(Sprints!$B$2:$B$60,MATCH(G27,Sprints!$A$2:$A$60,0)),"")</f>
        <v/>
      </c>
      <c r="J27" s="10">
        <f>IFERROR(INDEX(Sprints!$C$2:$C$60,MATCH(G27,Sprints!$A$2:$A$60,0)+H27-1),"")</f>
        <v/>
      </c>
      <c r="K27" s="10">
        <f>IFERROR(INDEX(Lists!$E$2:$E$40,MATCH(E27,Lists!$D$2:$D$40,0)),"")</f>
        <v/>
      </c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10">
        <f>IFERROR(INDEX(Sprints!$B$2:$B$60,MATCH(G28,Sprints!$A$2:$A$60,0)),"")</f>
        <v/>
      </c>
      <c r="J28" s="10">
        <f>IFERROR(INDEX(Sprints!$C$2:$C$60,MATCH(G28,Sprints!$A$2:$A$60,0)+H28-1),"")</f>
        <v/>
      </c>
      <c r="K28" s="10">
        <f>IFERROR(INDEX(Lists!$E$2:$E$40,MATCH(E28,Lists!$D$2:$D$40,0)),"")</f>
        <v/>
      </c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10">
        <f>IFERROR(INDEX(Sprints!$B$2:$B$60,MATCH(G29,Sprints!$A$2:$A$60,0)),"")</f>
        <v/>
      </c>
      <c r="J29" s="10">
        <f>IFERROR(INDEX(Sprints!$C$2:$C$60,MATCH(G29,Sprints!$A$2:$A$60,0)+H29-1),"")</f>
        <v/>
      </c>
      <c r="K29" s="10">
        <f>IFERROR(INDEX(Lists!$E$2:$E$40,MATCH(E29,Lists!$D$2:$D$40,0)),"")</f>
        <v/>
      </c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10">
        <f>IFERROR(INDEX(Sprints!$B$2:$B$60,MATCH(G30,Sprints!$A$2:$A$60,0)),"")</f>
        <v/>
      </c>
      <c r="J30" s="10">
        <f>IFERROR(INDEX(Sprints!$C$2:$C$60,MATCH(G30,Sprints!$A$2:$A$60,0)+H30-1),"")</f>
        <v/>
      </c>
      <c r="K30" s="10">
        <f>IFERROR(INDEX(Lists!$E$2:$E$40,MATCH(E30,Lists!$D$2:$D$40,0)),"")</f>
        <v/>
      </c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10">
        <f>IFERROR(INDEX(Sprints!$B$2:$B$60,MATCH(G31,Sprints!$A$2:$A$60,0)),"")</f>
        <v/>
      </c>
      <c r="J31" s="10">
        <f>IFERROR(INDEX(Sprints!$C$2:$C$60,MATCH(G31,Sprints!$A$2:$A$60,0)+H31-1),"")</f>
        <v/>
      </c>
      <c r="K31" s="10">
        <f>IFERROR(INDEX(Lists!$E$2:$E$40,MATCH(E31,Lists!$D$2:$D$40,0)),"")</f>
        <v/>
      </c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10">
        <f>IFERROR(INDEX(Sprints!$B$2:$B$60,MATCH(G32,Sprints!$A$2:$A$60,0)),"")</f>
        <v/>
      </c>
      <c r="J32" s="10">
        <f>IFERROR(INDEX(Sprints!$C$2:$C$60,MATCH(G32,Sprints!$A$2:$A$60,0)+H32-1),"")</f>
        <v/>
      </c>
      <c r="K32" s="10">
        <f>IFERROR(INDEX(Lists!$E$2:$E$40,MATCH(E32,Lists!$D$2:$D$40,0)),"")</f>
        <v/>
      </c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10">
        <f>IFERROR(INDEX(Sprints!$B$2:$B$60,MATCH(G33,Sprints!$A$2:$A$60,0)),"")</f>
        <v/>
      </c>
      <c r="J33" s="10">
        <f>IFERROR(INDEX(Sprints!$C$2:$C$60,MATCH(G33,Sprints!$A$2:$A$60,0)+H33-1),"")</f>
        <v/>
      </c>
      <c r="K33" s="10">
        <f>IFERROR(INDEX(Lists!$E$2:$E$40,MATCH(E33,Lists!$D$2:$D$40,0)),"")</f>
        <v/>
      </c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10">
        <f>IFERROR(INDEX(Sprints!$B$2:$B$60,MATCH(G34,Sprints!$A$2:$A$60,0)),"")</f>
        <v/>
      </c>
      <c r="J34" s="10">
        <f>IFERROR(INDEX(Sprints!$C$2:$C$60,MATCH(G34,Sprints!$A$2:$A$60,0)+H34-1),"")</f>
        <v/>
      </c>
      <c r="K34" s="10">
        <f>IFERROR(INDEX(Lists!$E$2:$E$40,MATCH(E34,Lists!$D$2:$D$40,0)),"")</f>
        <v/>
      </c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10">
        <f>IFERROR(INDEX(Sprints!$B$2:$B$60,MATCH(G35,Sprints!$A$2:$A$60,0)),"")</f>
        <v/>
      </c>
      <c r="J35" s="10">
        <f>IFERROR(INDEX(Sprints!$C$2:$C$60,MATCH(G35,Sprints!$A$2:$A$60,0)+H35-1),"")</f>
        <v/>
      </c>
      <c r="K35" s="10">
        <f>IFERROR(INDEX(Lists!$E$2:$E$40,MATCH(E35,Lists!$D$2:$D$40,0)),"")</f>
        <v/>
      </c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10">
        <f>IFERROR(INDEX(Sprints!$B$2:$B$60,MATCH(G36,Sprints!$A$2:$A$60,0)),"")</f>
        <v/>
      </c>
      <c r="J36" s="10">
        <f>IFERROR(INDEX(Sprints!$C$2:$C$60,MATCH(G36,Sprints!$A$2:$A$60,0)+H36-1),"")</f>
        <v/>
      </c>
      <c r="K36" s="10">
        <f>IFERROR(INDEX(Lists!$E$2:$E$40,MATCH(E36,Lists!$D$2:$D$40,0)),"")</f>
        <v/>
      </c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10">
        <f>IFERROR(INDEX(Sprints!$B$2:$B$60,MATCH(G37,Sprints!$A$2:$A$60,0)),"")</f>
        <v/>
      </c>
      <c r="J37" s="10">
        <f>IFERROR(INDEX(Sprints!$C$2:$C$60,MATCH(G37,Sprints!$A$2:$A$60,0)+H37-1),"")</f>
        <v/>
      </c>
      <c r="K37" s="10">
        <f>IFERROR(INDEX(Lists!$E$2:$E$40,MATCH(E37,Lists!$D$2:$D$40,0)),"")</f>
        <v/>
      </c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10">
        <f>IFERROR(INDEX(Sprints!$B$2:$B$60,MATCH(G38,Sprints!$A$2:$A$60,0)),"")</f>
        <v/>
      </c>
      <c r="J38" s="10">
        <f>IFERROR(INDEX(Sprints!$C$2:$C$60,MATCH(G38,Sprints!$A$2:$A$60,0)+H38-1),"")</f>
        <v/>
      </c>
      <c r="K38" s="10">
        <f>IFERROR(INDEX(Lists!$E$2:$E$40,MATCH(E38,Lists!$D$2:$D$40,0)),"")</f>
        <v/>
      </c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10">
        <f>IFERROR(INDEX(Sprints!$B$2:$B$60,MATCH(G39,Sprints!$A$2:$A$60,0)),"")</f>
        <v/>
      </c>
      <c r="J39" s="10">
        <f>IFERROR(INDEX(Sprints!$C$2:$C$60,MATCH(G39,Sprints!$A$2:$A$60,0)+H39-1),"")</f>
        <v/>
      </c>
      <c r="K39" s="10">
        <f>IFERROR(INDEX(Lists!$E$2:$E$40,MATCH(E39,Lists!$D$2:$D$40,0)),"")</f>
        <v/>
      </c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10">
        <f>IFERROR(INDEX(Sprints!$B$2:$B$60,MATCH(G40,Sprints!$A$2:$A$60,0)),"")</f>
        <v/>
      </c>
      <c r="J40" s="10">
        <f>IFERROR(INDEX(Sprints!$C$2:$C$60,MATCH(G40,Sprints!$A$2:$A$60,0)+H40-1),"")</f>
        <v/>
      </c>
      <c r="K40" s="10">
        <f>IFERROR(INDEX(Lists!$E$2:$E$40,MATCH(E40,Lists!$D$2:$D$40,0)),"")</f>
        <v/>
      </c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10">
        <f>IFERROR(INDEX(Sprints!$B$2:$B$60,MATCH(G41,Sprints!$A$2:$A$60,0)),"")</f>
        <v/>
      </c>
      <c r="J41" s="10">
        <f>IFERROR(INDEX(Sprints!$C$2:$C$60,MATCH(G41,Sprints!$A$2:$A$60,0)+H41-1),"")</f>
        <v/>
      </c>
      <c r="K41" s="10">
        <f>IFERROR(INDEX(Lists!$E$2:$E$40,MATCH(E41,Lists!$D$2:$D$40,0)),"")</f>
        <v/>
      </c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10">
        <f>IFERROR(INDEX(Sprints!$B$2:$B$60,MATCH(G42,Sprints!$A$2:$A$60,0)),"")</f>
        <v/>
      </c>
      <c r="J42" s="10">
        <f>IFERROR(INDEX(Sprints!$C$2:$C$60,MATCH(G42,Sprints!$A$2:$A$60,0)+H42-1),"")</f>
        <v/>
      </c>
      <c r="K42" s="10">
        <f>IFERROR(INDEX(Lists!$E$2:$E$40,MATCH(E42,Lists!$D$2:$D$40,0)),"")</f>
        <v/>
      </c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10">
        <f>IFERROR(INDEX(Sprints!$B$2:$B$60,MATCH(G43,Sprints!$A$2:$A$60,0)),"")</f>
        <v/>
      </c>
      <c r="J43" s="10">
        <f>IFERROR(INDEX(Sprints!$C$2:$C$60,MATCH(G43,Sprints!$A$2:$A$60,0)+H43-1),"")</f>
        <v/>
      </c>
      <c r="K43" s="10">
        <f>IFERROR(INDEX(Lists!$E$2:$E$40,MATCH(E43,Lists!$D$2:$D$40,0)),"")</f>
        <v/>
      </c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10">
        <f>IFERROR(INDEX(Sprints!$B$2:$B$60,MATCH(G44,Sprints!$A$2:$A$60,0)),"")</f>
        <v/>
      </c>
      <c r="J44" s="10">
        <f>IFERROR(INDEX(Sprints!$C$2:$C$60,MATCH(G44,Sprints!$A$2:$A$60,0)+H44-1),"")</f>
        <v/>
      </c>
      <c r="K44" s="10">
        <f>IFERROR(INDEX(Lists!$E$2:$E$40,MATCH(E44,Lists!$D$2:$D$40,0)),"")</f>
        <v/>
      </c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10">
        <f>IFERROR(INDEX(Sprints!$B$2:$B$60,MATCH(G45,Sprints!$A$2:$A$60,0)),"")</f>
        <v/>
      </c>
      <c r="J45" s="10">
        <f>IFERROR(INDEX(Sprints!$C$2:$C$60,MATCH(G45,Sprints!$A$2:$A$60,0)+H45-1),"")</f>
        <v/>
      </c>
      <c r="K45" s="10">
        <f>IFERROR(INDEX(Lists!$E$2:$E$40,MATCH(E45,Lists!$D$2:$D$40,0)),"")</f>
        <v/>
      </c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10">
        <f>IFERROR(INDEX(Sprints!$B$2:$B$60,MATCH(G46,Sprints!$A$2:$A$60,0)),"")</f>
        <v/>
      </c>
      <c r="J46" s="10">
        <f>IFERROR(INDEX(Sprints!$C$2:$C$60,MATCH(G46,Sprints!$A$2:$A$60,0)+H46-1),"")</f>
        <v/>
      </c>
      <c r="K46" s="10">
        <f>IFERROR(INDEX(Lists!$E$2:$E$40,MATCH(E46,Lists!$D$2:$D$40,0)),"")</f>
        <v/>
      </c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10">
        <f>IFERROR(INDEX(Sprints!$B$2:$B$60,MATCH(G47,Sprints!$A$2:$A$60,0)),"")</f>
        <v/>
      </c>
      <c r="J47" s="10">
        <f>IFERROR(INDEX(Sprints!$C$2:$C$60,MATCH(G47,Sprints!$A$2:$A$60,0)+H47-1),"")</f>
        <v/>
      </c>
      <c r="K47" s="10">
        <f>IFERROR(INDEX(Lists!$E$2:$E$40,MATCH(E47,Lists!$D$2:$D$40,0)),"")</f>
        <v/>
      </c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10">
        <f>IFERROR(INDEX(Sprints!$B$2:$B$60,MATCH(G48,Sprints!$A$2:$A$60,0)),"")</f>
        <v/>
      </c>
      <c r="J48" s="10">
        <f>IFERROR(INDEX(Sprints!$C$2:$C$60,MATCH(G48,Sprints!$A$2:$A$60,0)+H48-1),"")</f>
        <v/>
      </c>
      <c r="K48" s="10">
        <f>IFERROR(INDEX(Lists!$E$2:$E$40,MATCH(E48,Lists!$D$2:$D$40,0)),"")</f>
        <v/>
      </c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10">
        <f>IFERROR(INDEX(Sprints!$B$2:$B$60,MATCH(G49,Sprints!$A$2:$A$60,0)),"")</f>
        <v/>
      </c>
      <c r="J49" s="10">
        <f>IFERROR(INDEX(Sprints!$C$2:$C$60,MATCH(G49,Sprints!$A$2:$A$60,0)+H49-1),"")</f>
        <v/>
      </c>
      <c r="K49" s="10">
        <f>IFERROR(INDEX(Lists!$E$2:$E$40,MATCH(E49,Lists!$D$2:$D$40,0)),"")</f>
        <v/>
      </c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10">
        <f>IFERROR(INDEX(Sprints!$B$2:$B$60,MATCH(G50,Sprints!$A$2:$A$60,0)),"")</f>
        <v/>
      </c>
      <c r="J50" s="10">
        <f>IFERROR(INDEX(Sprints!$C$2:$C$60,MATCH(G50,Sprints!$A$2:$A$60,0)+H50-1),"")</f>
        <v/>
      </c>
      <c r="K50" s="10">
        <f>IFERROR(INDEX(Lists!$E$2:$E$40,MATCH(E50,Lists!$D$2:$D$40,0)),"")</f>
        <v/>
      </c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10">
        <f>IFERROR(INDEX(Sprints!$B$2:$B$60,MATCH(G51,Sprints!$A$2:$A$60,0)),"")</f>
        <v/>
      </c>
      <c r="J51" s="10">
        <f>IFERROR(INDEX(Sprints!$C$2:$C$60,MATCH(G51,Sprints!$A$2:$A$60,0)+H51-1),"")</f>
        <v/>
      </c>
      <c r="K51" s="10">
        <f>IFERROR(INDEX(Lists!$E$2:$E$40,MATCH(E51,Lists!$D$2:$D$40,0)),"")</f>
        <v/>
      </c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10">
        <f>IFERROR(INDEX(Sprints!$B$2:$B$60,MATCH(G52,Sprints!$A$2:$A$60,0)),"")</f>
        <v/>
      </c>
      <c r="J52" s="10">
        <f>IFERROR(INDEX(Sprints!$C$2:$C$60,MATCH(G52,Sprints!$A$2:$A$60,0)+H52-1),"")</f>
        <v/>
      </c>
      <c r="K52" s="10">
        <f>IFERROR(INDEX(Lists!$E$2:$E$40,MATCH(E52,Lists!$D$2:$D$40,0)),"")</f>
        <v/>
      </c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10">
        <f>IFERROR(INDEX(Sprints!$B$2:$B$60,MATCH(G53,Sprints!$A$2:$A$60,0)),"")</f>
        <v/>
      </c>
      <c r="J53" s="10">
        <f>IFERROR(INDEX(Sprints!$C$2:$C$60,MATCH(G53,Sprints!$A$2:$A$60,0)+H53-1),"")</f>
        <v/>
      </c>
      <c r="K53" s="10">
        <f>IFERROR(INDEX(Lists!$E$2:$E$40,MATCH(E53,Lists!$D$2:$D$40,0)),"")</f>
        <v/>
      </c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10">
        <f>IFERROR(INDEX(Sprints!$B$2:$B$60,MATCH(G54,Sprints!$A$2:$A$60,0)),"")</f>
        <v/>
      </c>
      <c r="J54" s="10">
        <f>IFERROR(INDEX(Sprints!$C$2:$C$60,MATCH(G54,Sprints!$A$2:$A$60,0)+H54-1),"")</f>
        <v/>
      </c>
      <c r="K54" s="10">
        <f>IFERROR(INDEX(Lists!$E$2:$E$40,MATCH(E54,Lists!$D$2:$D$40,0)),"")</f>
        <v/>
      </c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10">
        <f>IFERROR(INDEX(Sprints!$B$2:$B$60,MATCH(G55,Sprints!$A$2:$A$60,0)),"")</f>
        <v/>
      </c>
      <c r="J55" s="10">
        <f>IFERROR(INDEX(Sprints!$C$2:$C$60,MATCH(G55,Sprints!$A$2:$A$60,0)+H55-1),"")</f>
        <v/>
      </c>
      <c r="K55" s="10">
        <f>IFERROR(INDEX(Lists!$E$2:$E$40,MATCH(E55,Lists!$D$2:$D$40,0)),"")</f>
        <v/>
      </c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10">
        <f>IFERROR(INDEX(Sprints!$B$2:$B$60,MATCH(G56,Sprints!$A$2:$A$60,0)),"")</f>
        <v/>
      </c>
      <c r="J56" s="10">
        <f>IFERROR(INDEX(Sprints!$C$2:$C$60,MATCH(G56,Sprints!$A$2:$A$60,0)+H56-1),"")</f>
        <v/>
      </c>
      <c r="K56" s="10">
        <f>IFERROR(INDEX(Lists!$E$2:$E$40,MATCH(E56,Lists!$D$2:$D$40,0)),"")</f>
        <v/>
      </c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10">
        <f>IFERROR(INDEX(Sprints!$B$2:$B$60,MATCH(G57,Sprints!$A$2:$A$60,0)),"")</f>
        <v/>
      </c>
      <c r="J57" s="10">
        <f>IFERROR(INDEX(Sprints!$C$2:$C$60,MATCH(G57,Sprints!$A$2:$A$60,0)+H57-1),"")</f>
        <v/>
      </c>
      <c r="K57" s="10">
        <f>IFERROR(INDEX(Lists!$E$2:$E$40,MATCH(E57,Lists!$D$2:$D$40,0)),"")</f>
        <v/>
      </c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10">
        <f>IFERROR(INDEX(Sprints!$B$2:$B$60,MATCH(G58,Sprints!$A$2:$A$60,0)),"")</f>
        <v/>
      </c>
      <c r="J58" s="10">
        <f>IFERROR(INDEX(Sprints!$C$2:$C$60,MATCH(G58,Sprints!$A$2:$A$60,0)+H58-1),"")</f>
        <v/>
      </c>
      <c r="K58" s="10">
        <f>IFERROR(INDEX(Lists!$E$2:$E$40,MATCH(E58,Lists!$D$2:$D$40,0)),"")</f>
        <v/>
      </c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10">
        <f>IFERROR(INDEX(Sprints!$B$2:$B$60,MATCH(G59,Sprints!$A$2:$A$60,0)),"")</f>
        <v/>
      </c>
      <c r="J59" s="10">
        <f>IFERROR(INDEX(Sprints!$C$2:$C$60,MATCH(G59,Sprints!$A$2:$A$60,0)+H59-1),"")</f>
        <v/>
      </c>
      <c r="K59" s="10">
        <f>IFERROR(INDEX(Lists!$E$2:$E$40,MATCH(E59,Lists!$D$2:$D$40,0)),"")</f>
        <v/>
      </c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10">
        <f>IFERROR(INDEX(Sprints!$B$2:$B$60,MATCH(G60,Sprints!$A$2:$A$60,0)),"")</f>
        <v/>
      </c>
      <c r="J60" s="10">
        <f>IFERROR(INDEX(Sprints!$C$2:$C$60,MATCH(G60,Sprints!$A$2:$A$60,0)+H60-1),"")</f>
        <v/>
      </c>
      <c r="K60" s="10">
        <f>IFERROR(INDEX(Lists!$E$2:$E$40,MATCH(E60,Lists!$D$2:$D$40,0)),"")</f>
        <v/>
      </c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10">
        <f>IFERROR(INDEX(Sprints!$B$2:$B$60,MATCH(G61,Sprints!$A$2:$A$60,0)),"")</f>
        <v/>
      </c>
      <c r="J61" s="10">
        <f>IFERROR(INDEX(Sprints!$C$2:$C$60,MATCH(G61,Sprints!$A$2:$A$60,0)+H61-1),"")</f>
        <v/>
      </c>
      <c r="K61" s="10">
        <f>IFERROR(INDEX(Lists!$E$2:$E$40,MATCH(E61,Lists!$D$2:$D$40,0)),"")</f>
        <v/>
      </c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10">
        <f>IFERROR(INDEX(Sprints!$B$2:$B$60,MATCH(G62,Sprints!$A$2:$A$60,0)),"")</f>
        <v/>
      </c>
      <c r="J62" s="10">
        <f>IFERROR(INDEX(Sprints!$C$2:$C$60,MATCH(G62,Sprints!$A$2:$A$60,0)+H62-1),"")</f>
        <v/>
      </c>
      <c r="K62" s="10">
        <f>IFERROR(INDEX(Lists!$E$2:$E$40,MATCH(E62,Lists!$D$2:$D$40,0)),"")</f>
        <v/>
      </c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10">
        <f>IFERROR(INDEX(Sprints!$B$2:$B$60,MATCH(G63,Sprints!$A$2:$A$60,0)),"")</f>
        <v/>
      </c>
      <c r="J63" s="10">
        <f>IFERROR(INDEX(Sprints!$C$2:$C$60,MATCH(G63,Sprints!$A$2:$A$60,0)+H63-1),"")</f>
        <v/>
      </c>
      <c r="K63" s="10">
        <f>IFERROR(INDEX(Lists!$E$2:$E$40,MATCH(E63,Lists!$D$2:$D$40,0)),"")</f>
        <v/>
      </c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10">
        <f>IFERROR(INDEX(Sprints!$B$2:$B$60,MATCH(G64,Sprints!$A$2:$A$60,0)),"")</f>
        <v/>
      </c>
      <c r="J64" s="10">
        <f>IFERROR(INDEX(Sprints!$C$2:$C$60,MATCH(G64,Sprints!$A$2:$A$60,0)+H64-1),"")</f>
        <v/>
      </c>
      <c r="K64" s="10">
        <f>IFERROR(INDEX(Lists!$E$2:$E$40,MATCH(E64,Lists!$D$2:$D$40,0)),"")</f>
        <v/>
      </c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10">
        <f>IFERROR(INDEX(Sprints!$B$2:$B$60,MATCH(G65,Sprints!$A$2:$A$60,0)),"")</f>
        <v/>
      </c>
      <c r="J65" s="10">
        <f>IFERROR(INDEX(Sprints!$C$2:$C$60,MATCH(G65,Sprints!$A$2:$A$60,0)+H65-1),"")</f>
        <v/>
      </c>
      <c r="K65" s="10">
        <f>IFERROR(INDEX(Lists!$E$2:$E$40,MATCH(E65,Lists!$D$2:$D$40,0)),"")</f>
        <v/>
      </c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10">
        <f>IFERROR(INDEX(Sprints!$B$2:$B$60,MATCH(G66,Sprints!$A$2:$A$60,0)),"")</f>
        <v/>
      </c>
      <c r="J66" s="10">
        <f>IFERROR(INDEX(Sprints!$C$2:$C$60,MATCH(G66,Sprints!$A$2:$A$60,0)+H66-1),"")</f>
        <v/>
      </c>
      <c r="K66" s="10">
        <f>IFERROR(INDEX(Lists!$E$2:$E$40,MATCH(E66,Lists!$D$2:$D$40,0)),"")</f>
        <v/>
      </c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10">
        <f>IFERROR(INDEX(Sprints!$B$2:$B$60,MATCH(G67,Sprints!$A$2:$A$60,0)),"")</f>
        <v/>
      </c>
      <c r="J67" s="10">
        <f>IFERROR(INDEX(Sprints!$C$2:$C$60,MATCH(G67,Sprints!$A$2:$A$60,0)+H67-1),"")</f>
        <v/>
      </c>
      <c r="K67" s="10">
        <f>IFERROR(INDEX(Lists!$E$2:$E$40,MATCH(E67,Lists!$D$2:$D$40,0)),"")</f>
        <v/>
      </c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10">
        <f>IFERROR(INDEX(Sprints!$B$2:$B$60,MATCH(G68,Sprints!$A$2:$A$60,0)),"")</f>
        <v/>
      </c>
      <c r="J68" s="10">
        <f>IFERROR(INDEX(Sprints!$C$2:$C$60,MATCH(G68,Sprints!$A$2:$A$60,0)+H68-1),"")</f>
        <v/>
      </c>
      <c r="K68" s="10">
        <f>IFERROR(INDEX(Lists!$E$2:$E$40,MATCH(E68,Lists!$D$2:$D$40,0)),"")</f>
        <v/>
      </c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10">
        <f>IFERROR(INDEX(Sprints!$B$2:$B$60,MATCH(G69,Sprints!$A$2:$A$60,0)),"")</f>
        <v/>
      </c>
      <c r="J69" s="10">
        <f>IFERROR(INDEX(Sprints!$C$2:$C$60,MATCH(G69,Sprints!$A$2:$A$60,0)+H69-1),"")</f>
        <v/>
      </c>
      <c r="K69" s="10">
        <f>IFERROR(INDEX(Lists!$E$2:$E$40,MATCH(E69,Lists!$D$2:$D$40,0)),"")</f>
        <v/>
      </c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10">
        <f>IFERROR(INDEX(Sprints!$B$2:$B$60,MATCH(G70,Sprints!$A$2:$A$60,0)),"")</f>
        <v/>
      </c>
      <c r="J70" s="10">
        <f>IFERROR(INDEX(Sprints!$C$2:$C$60,MATCH(G70,Sprints!$A$2:$A$60,0)+H70-1),"")</f>
        <v/>
      </c>
      <c r="K70" s="10">
        <f>IFERROR(INDEX(Lists!$E$2:$E$40,MATCH(E70,Lists!$D$2:$D$40,0)),"")</f>
        <v/>
      </c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10">
        <f>IFERROR(INDEX(Sprints!$B$2:$B$60,MATCH(G71,Sprints!$A$2:$A$60,0)),"")</f>
        <v/>
      </c>
      <c r="J71" s="10">
        <f>IFERROR(INDEX(Sprints!$C$2:$C$60,MATCH(G71,Sprints!$A$2:$A$60,0)+H71-1),"")</f>
        <v/>
      </c>
      <c r="K71" s="10">
        <f>IFERROR(INDEX(Lists!$E$2:$E$40,MATCH(E71,Lists!$D$2:$D$40,0)),"")</f>
        <v/>
      </c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10">
        <f>IFERROR(INDEX(Sprints!$B$2:$B$60,MATCH(G72,Sprints!$A$2:$A$60,0)),"")</f>
        <v/>
      </c>
      <c r="J72" s="10">
        <f>IFERROR(INDEX(Sprints!$C$2:$C$60,MATCH(G72,Sprints!$A$2:$A$60,0)+H72-1),"")</f>
        <v/>
      </c>
      <c r="K72" s="10">
        <f>IFERROR(INDEX(Lists!$E$2:$E$40,MATCH(E72,Lists!$D$2:$D$40,0)),"")</f>
        <v/>
      </c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10">
        <f>IFERROR(INDEX(Sprints!$B$2:$B$60,MATCH(G73,Sprints!$A$2:$A$60,0)),"")</f>
        <v/>
      </c>
      <c r="J73" s="10">
        <f>IFERROR(INDEX(Sprints!$C$2:$C$60,MATCH(G73,Sprints!$A$2:$A$60,0)+H73-1),"")</f>
        <v/>
      </c>
      <c r="K73" s="10">
        <f>IFERROR(INDEX(Lists!$E$2:$E$40,MATCH(E73,Lists!$D$2:$D$40,0)),"")</f>
        <v/>
      </c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10">
        <f>IFERROR(INDEX(Sprints!$B$2:$B$60,MATCH(G74,Sprints!$A$2:$A$60,0)),"")</f>
        <v/>
      </c>
      <c r="J74" s="10">
        <f>IFERROR(INDEX(Sprints!$C$2:$C$60,MATCH(G74,Sprints!$A$2:$A$60,0)+H74-1),"")</f>
        <v/>
      </c>
      <c r="K74" s="10">
        <f>IFERROR(INDEX(Lists!$E$2:$E$40,MATCH(E74,Lists!$D$2:$D$40,0)),"")</f>
        <v/>
      </c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10">
        <f>IFERROR(INDEX(Sprints!$B$2:$B$60,MATCH(G75,Sprints!$A$2:$A$60,0)),"")</f>
        <v/>
      </c>
      <c r="J75" s="10">
        <f>IFERROR(INDEX(Sprints!$C$2:$C$60,MATCH(G75,Sprints!$A$2:$A$60,0)+H75-1),"")</f>
        <v/>
      </c>
      <c r="K75" s="10">
        <f>IFERROR(INDEX(Lists!$E$2:$E$40,MATCH(E75,Lists!$D$2:$D$40,0)),"")</f>
        <v/>
      </c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10">
        <f>IFERROR(INDEX(Sprints!$B$2:$B$60,MATCH(G76,Sprints!$A$2:$A$60,0)),"")</f>
        <v/>
      </c>
      <c r="J76" s="10">
        <f>IFERROR(INDEX(Sprints!$C$2:$C$60,MATCH(G76,Sprints!$A$2:$A$60,0)+H76-1),"")</f>
        <v/>
      </c>
      <c r="K76" s="10">
        <f>IFERROR(INDEX(Lists!$E$2:$E$40,MATCH(E76,Lists!$D$2:$D$40,0)),"")</f>
        <v/>
      </c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10">
        <f>IFERROR(INDEX(Sprints!$B$2:$B$60,MATCH(G77,Sprints!$A$2:$A$60,0)),"")</f>
        <v/>
      </c>
      <c r="J77" s="10">
        <f>IFERROR(INDEX(Sprints!$C$2:$C$60,MATCH(G77,Sprints!$A$2:$A$60,0)+H77-1),"")</f>
        <v/>
      </c>
      <c r="K77" s="10">
        <f>IFERROR(INDEX(Lists!$E$2:$E$40,MATCH(E77,Lists!$D$2:$D$40,0)),"")</f>
        <v/>
      </c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10">
        <f>IFERROR(INDEX(Sprints!$B$2:$B$60,MATCH(G78,Sprints!$A$2:$A$60,0)),"")</f>
        <v/>
      </c>
      <c r="J78" s="10">
        <f>IFERROR(INDEX(Sprints!$C$2:$C$60,MATCH(G78,Sprints!$A$2:$A$60,0)+H78-1),"")</f>
        <v/>
      </c>
      <c r="K78" s="10">
        <f>IFERROR(INDEX(Lists!$E$2:$E$40,MATCH(E78,Lists!$D$2:$D$40,0)),"")</f>
        <v/>
      </c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10">
        <f>IFERROR(INDEX(Sprints!$B$2:$B$60,MATCH(G79,Sprints!$A$2:$A$60,0)),"")</f>
        <v/>
      </c>
      <c r="J79" s="10">
        <f>IFERROR(INDEX(Sprints!$C$2:$C$60,MATCH(G79,Sprints!$A$2:$A$60,0)+H79-1),"")</f>
        <v/>
      </c>
      <c r="K79" s="10">
        <f>IFERROR(INDEX(Lists!$E$2:$E$40,MATCH(E79,Lists!$D$2:$D$40,0)),"")</f>
        <v/>
      </c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10">
        <f>IFERROR(INDEX(Sprints!$B$2:$B$60,MATCH(G80,Sprints!$A$2:$A$60,0)),"")</f>
        <v/>
      </c>
      <c r="J80" s="10">
        <f>IFERROR(INDEX(Sprints!$C$2:$C$60,MATCH(G80,Sprints!$A$2:$A$60,0)+H80-1),"")</f>
        <v/>
      </c>
      <c r="K80" s="10">
        <f>IFERROR(INDEX(Lists!$E$2:$E$40,MATCH(E80,Lists!$D$2:$D$40,0)),"")</f>
        <v/>
      </c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10">
        <f>IFERROR(INDEX(Sprints!$B$2:$B$60,MATCH(G81,Sprints!$A$2:$A$60,0)),"")</f>
        <v/>
      </c>
      <c r="J81" s="10">
        <f>IFERROR(INDEX(Sprints!$C$2:$C$60,MATCH(G81,Sprints!$A$2:$A$60,0)+H81-1),"")</f>
        <v/>
      </c>
      <c r="K81" s="10">
        <f>IFERROR(INDEX(Lists!$E$2:$E$40,MATCH(E81,Lists!$D$2:$D$40,0)),"")</f>
        <v/>
      </c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10">
        <f>IFERROR(INDEX(Sprints!$B$2:$B$60,MATCH(G82,Sprints!$A$2:$A$60,0)),"")</f>
        <v/>
      </c>
      <c r="J82" s="10">
        <f>IFERROR(INDEX(Sprints!$C$2:$C$60,MATCH(G82,Sprints!$A$2:$A$60,0)+H82-1),"")</f>
        <v/>
      </c>
      <c r="K82" s="10">
        <f>IFERROR(INDEX(Lists!$E$2:$E$40,MATCH(E82,Lists!$D$2:$D$40,0)),"")</f>
        <v/>
      </c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10">
        <f>IFERROR(INDEX(Sprints!$B$2:$B$60,MATCH(G83,Sprints!$A$2:$A$60,0)),"")</f>
        <v/>
      </c>
      <c r="J83" s="10">
        <f>IFERROR(INDEX(Sprints!$C$2:$C$60,MATCH(G83,Sprints!$A$2:$A$60,0)+H83-1),"")</f>
        <v/>
      </c>
      <c r="K83" s="10">
        <f>IFERROR(INDEX(Lists!$E$2:$E$40,MATCH(E83,Lists!$D$2:$D$40,0)),"")</f>
        <v/>
      </c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10">
        <f>IFERROR(INDEX(Sprints!$B$2:$B$60,MATCH(G84,Sprints!$A$2:$A$60,0)),"")</f>
        <v/>
      </c>
      <c r="J84" s="10">
        <f>IFERROR(INDEX(Sprints!$C$2:$C$60,MATCH(G84,Sprints!$A$2:$A$60,0)+H84-1),"")</f>
        <v/>
      </c>
      <c r="K84" s="10">
        <f>IFERROR(INDEX(Lists!$E$2:$E$40,MATCH(E84,Lists!$D$2:$D$40,0)),"")</f>
        <v/>
      </c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10">
        <f>IFERROR(INDEX(Sprints!$B$2:$B$60,MATCH(G85,Sprints!$A$2:$A$60,0)),"")</f>
        <v/>
      </c>
      <c r="J85" s="10">
        <f>IFERROR(INDEX(Sprints!$C$2:$C$60,MATCH(G85,Sprints!$A$2:$A$60,0)+H85-1),"")</f>
        <v/>
      </c>
      <c r="K85" s="10">
        <f>IFERROR(INDEX(Lists!$E$2:$E$40,MATCH(E85,Lists!$D$2:$D$40,0)),"")</f>
        <v/>
      </c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10">
        <f>IFERROR(INDEX(Sprints!$B$2:$B$60,MATCH(G86,Sprints!$A$2:$A$60,0)),"")</f>
        <v/>
      </c>
      <c r="J86" s="10">
        <f>IFERROR(INDEX(Sprints!$C$2:$C$60,MATCH(G86,Sprints!$A$2:$A$60,0)+H86-1),"")</f>
        <v/>
      </c>
      <c r="K86" s="10">
        <f>IFERROR(INDEX(Lists!$E$2:$E$40,MATCH(E86,Lists!$D$2:$D$40,0)),"")</f>
        <v/>
      </c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10">
        <f>IFERROR(INDEX(Sprints!$B$2:$B$60,MATCH(G87,Sprints!$A$2:$A$60,0)),"")</f>
        <v/>
      </c>
      <c r="J87" s="10">
        <f>IFERROR(INDEX(Sprints!$C$2:$C$60,MATCH(G87,Sprints!$A$2:$A$60,0)+H87-1),"")</f>
        <v/>
      </c>
      <c r="K87" s="10">
        <f>IFERROR(INDEX(Lists!$E$2:$E$40,MATCH(E87,Lists!$D$2:$D$40,0)),"")</f>
        <v/>
      </c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10">
        <f>IFERROR(INDEX(Sprints!$B$2:$B$60,MATCH(G88,Sprints!$A$2:$A$60,0)),"")</f>
        <v/>
      </c>
      <c r="J88" s="10">
        <f>IFERROR(INDEX(Sprints!$C$2:$C$60,MATCH(G88,Sprints!$A$2:$A$60,0)+H88-1),"")</f>
        <v/>
      </c>
      <c r="K88" s="10">
        <f>IFERROR(INDEX(Lists!$E$2:$E$40,MATCH(E88,Lists!$D$2:$D$40,0)),"")</f>
        <v/>
      </c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10">
        <f>IFERROR(INDEX(Sprints!$B$2:$B$60,MATCH(G89,Sprints!$A$2:$A$60,0)),"")</f>
        <v/>
      </c>
      <c r="J89" s="10">
        <f>IFERROR(INDEX(Sprints!$C$2:$C$60,MATCH(G89,Sprints!$A$2:$A$60,0)+H89-1),"")</f>
        <v/>
      </c>
      <c r="K89" s="10">
        <f>IFERROR(INDEX(Lists!$E$2:$E$40,MATCH(E89,Lists!$D$2:$D$40,0)),"")</f>
        <v/>
      </c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10">
        <f>IFERROR(INDEX(Sprints!$B$2:$B$60,MATCH(G90,Sprints!$A$2:$A$60,0)),"")</f>
        <v/>
      </c>
      <c r="J90" s="10">
        <f>IFERROR(INDEX(Sprints!$C$2:$C$60,MATCH(G90,Sprints!$A$2:$A$60,0)+H90-1),"")</f>
        <v/>
      </c>
      <c r="K90" s="10">
        <f>IFERROR(INDEX(Lists!$E$2:$E$40,MATCH(E90,Lists!$D$2:$D$40,0)),"")</f>
        <v/>
      </c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10">
        <f>IFERROR(INDEX(Sprints!$B$2:$B$60,MATCH(G91,Sprints!$A$2:$A$60,0)),"")</f>
        <v/>
      </c>
      <c r="J91" s="10">
        <f>IFERROR(INDEX(Sprints!$C$2:$C$60,MATCH(G91,Sprints!$A$2:$A$60,0)+H91-1),"")</f>
        <v/>
      </c>
      <c r="K91" s="10">
        <f>IFERROR(INDEX(Lists!$E$2:$E$40,MATCH(E91,Lists!$D$2:$D$40,0)),"")</f>
        <v/>
      </c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10">
        <f>IFERROR(INDEX(Sprints!$B$2:$B$60,MATCH(G92,Sprints!$A$2:$A$60,0)),"")</f>
        <v/>
      </c>
      <c r="J92" s="10">
        <f>IFERROR(INDEX(Sprints!$C$2:$C$60,MATCH(G92,Sprints!$A$2:$A$60,0)+H92-1),"")</f>
        <v/>
      </c>
      <c r="K92" s="10">
        <f>IFERROR(INDEX(Lists!$E$2:$E$40,MATCH(E92,Lists!$D$2:$D$40,0)),"")</f>
        <v/>
      </c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10">
        <f>IFERROR(INDEX(Sprints!$B$2:$B$60,MATCH(G93,Sprints!$A$2:$A$60,0)),"")</f>
        <v/>
      </c>
      <c r="J93" s="10">
        <f>IFERROR(INDEX(Sprints!$C$2:$C$60,MATCH(G93,Sprints!$A$2:$A$60,0)+H93-1),"")</f>
        <v/>
      </c>
      <c r="K93" s="10">
        <f>IFERROR(INDEX(Lists!$E$2:$E$40,MATCH(E93,Lists!$D$2:$D$40,0)),"")</f>
        <v/>
      </c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10">
        <f>IFERROR(INDEX(Sprints!$B$2:$B$60,MATCH(G94,Sprints!$A$2:$A$60,0)),"")</f>
        <v/>
      </c>
      <c r="J94" s="10">
        <f>IFERROR(INDEX(Sprints!$C$2:$C$60,MATCH(G94,Sprints!$A$2:$A$60,0)+H94-1),"")</f>
        <v/>
      </c>
      <c r="K94" s="10">
        <f>IFERROR(INDEX(Lists!$E$2:$E$40,MATCH(E94,Lists!$D$2:$D$40,0)),"")</f>
        <v/>
      </c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10">
        <f>IFERROR(INDEX(Sprints!$B$2:$B$60,MATCH(G95,Sprints!$A$2:$A$60,0)),"")</f>
        <v/>
      </c>
      <c r="J95" s="10">
        <f>IFERROR(INDEX(Sprints!$C$2:$C$60,MATCH(G95,Sprints!$A$2:$A$60,0)+H95-1),"")</f>
        <v/>
      </c>
      <c r="K95" s="10">
        <f>IFERROR(INDEX(Lists!$E$2:$E$40,MATCH(E95,Lists!$D$2:$D$40,0)),"")</f>
        <v/>
      </c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10">
        <f>IFERROR(INDEX(Sprints!$B$2:$B$60,MATCH(G96,Sprints!$A$2:$A$60,0)),"")</f>
        <v/>
      </c>
      <c r="J96" s="10">
        <f>IFERROR(INDEX(Sprints!$C$2:$C$60,MATCH(G96,Sprints!$A$2:$A$60,0)+H96-1),"")</f>
        <v/>
      </c>
      <c r="K96" s="10">
        <f>IFERROR(INDEX(Lists!$E$2:$E$40,MATCH(E96,Lists!$D$2:$D$40,0)),"")</f>
        <v/>
      </c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10">
        <f>IFERROR(INDEX(Sprints!$B$2:$B$60,MATCH(G97,Sprints!$A$2:$A$60,0)),"")</f>
        <v/>
      </c>
      <c r="J97" s="10">
        <f>IFERROR(INDEX(Sprints!$C$2:$C$60,MATCH(G97,Sprints!$A$2:$A$60,0)+H97-1),"")</f>
        <v/>
      </c>
      <c r="K97" s="10">
        <f>IFERROR(INDEX(Lists!$E$2:$E$40,MATCH(E97,Lists!$D$2:$D$40,0)),"")</f>
        <v/>
      </c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10">
        <f>IFERROR(INDEX(Sprints!$B$2:$B$60,MATCH(G98,Sprints!$A$2:$A$60,0)),"")</f>
        <v/>
      </c>
      <c r="J98" s="10">
        <f>IFERROR(INDEX(Sprints!$C$2:$C$60,MATCH(G98,Sprints!$A$2:$A$60,0)+H98-1),"")</f>
        <v/>
      </c>
      <c r="K98" s="10">
        <f>IFERROR(INDEX(Lists!$E$2:$E$40,MATCH(E98,Lists!$D$2:$D$40,0)),"")</f>
        <v/>
      </c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10">
        <f>IFERROR(INDEX(Sprints!$B$2:$B$60,MATCH(G99,Sprints!$A$2:$A$60,0)),"")</f>
        <v/>
      </c>
      <c r="J99" s="10">
        <f>IFERROR(INDEX(Sprints!$C$2:$C$60,MATCH(G99,Sprints!$A$2:$A$60,0)+H99-1),"")</f>
        <v/>
      </c>
      <c r="K99" s="10">
        <f>IFERROR(INDEX(Lists!$E$2:$E$40,MATCH(E99,Lists!$D$2:$D$40,0)),"")</f>
        <v/>
      </c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10">
        <f>IFERROR(INDEX(Sprints!$B$2:$B$60,MATCH(G100,Sprints!$A$2:$A$60,0)),"")</f>
        <v/>
      </c>
      <c r="J100" s="10">
        <f>IFERROR(INDEX(Sprints!$C$2:$C$60,MATCH(G100,Sprints!$A$2:$A$60,0)+H100-1),"")</f>
        <v/>
      </c>
      <c r="K100" s="10">
        <f>IFERROR(INDEX(Lists!$E$2:$E$40,MATCH(E100,Lists!$D$2:$D$40,0)),"")</f>
        <v/>
      </c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10">
        <f>IFERROR(INDEX(Sprints!$B$2:$B$60,MATCH(G101,Sprints!$A$2:$A$60,0)),"")</f>
        <v/>
      </c>
      <c r="J101" s="10">
        <f>IFERROR(INDEX(Sprints!$C$2:$C$60,MATCH(G101,Sprints!$A$2:$A$60,0)+H101-1),"")</f>
        <v/>
      </c>
      <c r="K101" s="10">
        <f>IFERROR(INDEX(Lists!$E$2:$E$40,MATCH(E101,Lists!$D$2:$D$40,0)),"")</f>
        <v/>
      </c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10">
        <f>IFERROR(INDEX(Sprints!$B$2:$B$60,MATCH(G102,Sprints!$A$2:$A$60,0)),"")</f>
        <v/>
      </c>
      <c r="J102" s="10">
        <f>IFERROR(INDEX(Sprints!$C$2:$C$60,MATCH(G102,Sprints!$A$2:$A$60,0)+H102-1),"")</f>
        <v/>
      </c>
      <c r="K102" s="10">
        <f>IFERROR(INDEX(Lists!$E$2:$E$40,MATCH(E102,Lists!$D$2:$D$40,0)),"")</f>
        <v/>
      </c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10">
        <f>IFERROR(INDEX(Sprints!$B$2:$B$60,MATCH(G103,Sprints!$A$2:$A$60,0)),"")</f>
        <v/>
      </c>
      <c r="J103" s="10">
        <f>IFERROR(INDEX(Sprints!$C$2:$C$60,MATCH(G103,Sprints!$A$2:$A$60,0)+H103-1),"")</f>
        <v/>
      </c>
      <c r="K103" s="10">
        <f>IFERROR(INDEX(Lists!$E$2:$E$40,MATCH(E103,Lists!$D$2:$D$40,0)),"")</f>
        <v/>
      </c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10">
        <f>IFERROR(INDEX(Sprints!$B$2:$B$60,MATCH(G104,Sprints!$A$2:$A$60,0)),"")</f>
        <v/>
      </c>
      <c r="J104" s="10">
        <f>IFERROR(INDEX(Sprints!$C$2:$C$60,MATCH(G104,Sprints!$A$2:$A$60,0)+H104-1),"")</f>
        <v/>
      </c>
      <c r="K104" s="10">
        <f>IFERROR(INDEX(Lists!$E$2:$E$40,MATCH(E104,Lists!$D$2:$D$40,0)),"")</f>
        <v/>
      </c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10">
        <f>IFERROR(INDEX(Sprints!$B$2:$B$60,MATCH(G105,Sprints!$A$2:$A$60,0)),"")</f>
        <v/>
      </c>
      <c r="J105" s="10">
        <f>IFERROR(INDEX(Sprints!$C$2:$C$60,MATCH(G105,Sprints!$A$2:$A$60,0)+H105-1),"")</f>
        <v/>
      </c>
      <c r="K105" s="10">
        <f>IFERROR(INDEX(Lists!$E$2:$E$40,MATCH(E105,Lists!$D$2:$D$40,0)),"")</f>
        <v/>
      </c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10">
        <f>IFERROR(INDEX(Sprints!$B$2:$B$60,MATCH(G106,Sprints!$A$2:$A$60,0)),"")</f>
        <v/>
      </c>
      <c r="J106" s="10">
        <f>IFERROR(INDEX(Sprints!$C$2:$C$60,MATCH(G106,Sprints!$A$2:$A$60,0)+H106-1),"")</f>
        <v/>
      </c>
      <c r="K106" s="10">
        <f>IFERROR(INDEX(Lists!$E$2:$E$40,MATCH(E106,Lists!$D$2:$D$40,0)),"")</f>
        <v/>
      </c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10">
        <f>IFERROR(INDEX(Sprints!$B$2:$B$60,MATCH(G107,Sprints!$A$2:$A$60,0)),"")</f>
        <v/>
      </c>
      <c r="J107" s="10">
        <f>IFERROR(INDEX(Sprints!$C$2:$C$60,MATCH(G107,Sprints!$A$2:$A$60,0)+H107-1),"")</f>
        <v/>
      </c>
      <c r="K107" s="10">
        <f>IFERROR(INDEX(Lists!$E$2:$E$40,MATCH(E107,Lists!$D$2:$D$40,0)),"")</f>
        <v/>
      </c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10">
        <f>IFERROR(INDEX(Sprints!$B$2:$B$60,MATCH(G108,Sprints!$A$2:$A$60,0)),"")</f>
        <v/>
      </c>
      <c r="J108" s="10">
        <f>IFERROR(INDEX(Sprints!$C$2:$C$60,MATCH(G108,Sprints!$A$2:$A$60,0)+H108-1),"")</f>
        <v/>
      </c>
      <c r="K108" s="10">
        <f>IFERROR(INDEX(Lists!$E$2:$E$40,MATCH(E108,Lists!$D$2:$D$40,0)),"")</f>
        <v/>
      </c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10">
        <f>IFERROR(INDEX(Sprints!$B$2:$B$60,MATCH(G109,Sprints!$A$2:$A$60,0)),"")</f>
        <v/>
      </c>
      <c r="J109" s="10">
        <f>IFERROR(INDEX(Sprints!$C$2:$C$60,MATCH(G109,Sprints!$A$2:$A$60,0)+H109-1),"")</f>
        <v/>
      </c>
      <c r="K109" s="10">
        <f>IFERROR(INDEX(Lists!$E$2:$E$40,MATCH(E109,Lists!$D$2:$D$40,0)),"")</f>
        <v/>
      </c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10">
        <f>IFERROR(INDEX(Sprints!$B$2:$B$60,MATCH(G110,Sprints!$A$2:$A$60,0)),"")</f>
        <v/>
      </c>
      <c r="J110" s="10">
        <f>IFERROR(INDEX(Sprints!$C$2:$C$60,MATCH(G110,Sprints!$A$2:$A$60,0)+H110-1),"")</f>
        <v/>
      </c>
      <c r="K110" s="10">
        <f>IFERROR(INDEX(Lists!$E$2:$E$40,MATCH(E110,Lists!$D$2:$D$40,0)),"")</f>
        <v/>
      </c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10">
        <f>IFERROR(INDEX(Sprints!$B$2:$B$60,MATCH(G111,Sprints!$A$2:$A$60,0)),"")</f>
        <v/>
      </c>
      <c r="J111" s="10">
        <f>IFERROR(INDEX(Sprints!$C$2:$C$60,MATCH(G111,Sprints!$A$2:$A$60,0)+H111-1),"")</f>
        <v/>
      </c>
      <c r="K111" s="10">
        <f>IFERROR(INDEX(Lists!$E$2:$E$40,MATCH(E111,Lists!$D$2:$D$40,0)),"")</f>
        <v/>
      </c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10">
        <f>IFERROR(INDEX(Sprints!$B$2:$B$60,MATCH(G112,Sprints!$A$2:$A$60,0)),"")</f>
        <v/>
      </c>
      <c r="J112" s="10">
        <f>IFERROR(INDEX(Sprints!$C$2:$C$60,MATCH(G112,Sprints!$A$2:$A$60,0)+H112-1),"")</f>
        <v/>
      </c>
      <c r="K112" s="10">
        <f>IFERROR(INDEX(Lists!$E$2:$E$40,MATCH(E112,Lists!$D$2:$D$40,0)),"")</f>
        <v/>
      </c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10">
        <f>IFERROR(INDEX(Sprints!$B$2:$B$60,MATCH(G113,Sprints!$A$2:$A$60,0)),"")</f>
        <v/>
      </c>
      <c r="J113" s="10">
        <f>IFERROR(INDEX(Sprints!$C$2:$C$60,MATCH(G113,Sprints!$A$2:$A$60,0)+H113-1),"")</f>
        <v/>
      </c>
      <c r="K113" s="10">
        <f>IFERROR(INDEX(Lists!$E$2:$E$40,MATCH(E113,Lists!$D$2:$D$40,0)),"")</f>
        <v/>
      </c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10">
        <f>IFERROR(INDEX(Sprints!$B$2:$B$60,MATCH(G114,Sprints!$A$2:$A$60,0)),"")</f>
        <v/>
      </c>
      <c r="J114" s="10">
        <f>IFERROR(INDEX(Sprints!$C$2:$C$60,MATCH(G114,Sprints!$A$2:$A$60,0)+H114-1),"")</f>
        <v/>
      </c>
      <c r="K114" s="10">
        <f>IFERROR(INDEX(Lists!$E$2:$E$40,MATCH(E114,Lists!$D$2:$D$40,0)),"")</f>
        <v/>
      </c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10">
        <f>IFERROR(INDEX(Sprints!$B$2:$B$60,MATCH(G115,Sprints!$A$2:$A$60,0)),"")</f>
        <v/>
      </c>
      <c r="J115" s="10">
        <f>IFERROR(INDEX(Sprints!$C$2:$C$60,MATCH(G115,Sprints!$A$2:$A$60,0)+H115-1),"")</f>
        <v/>
      </c>
      <c r="K115" s="10">
        <f>IFERROR(INDEX(Lists!$E$2:$E$40,MATCH(E115,Lists!$D$2:$D$40,0)),"")</f>
        <v/>
      </c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10">
        <f>IFERROR(INDEX(Sprints!$B$2:$B$60,MATCH(G116,Sprints!$A$2:$A$60,0)),"")</f>
        <v/>
      </c>
      <c r="J116" s="10">
        <f>IFERROR(INDEX(Sprints!$C$2:$C$60,MATCH(G116,Sprints!$A$2:$A$60,0)+H116-1),"")</f>
        <v/>
      </c>
      <c r="K116" s="10">
        <f>IFERROR(INDEX(Lists!$E$2:$E$40,MATCH(E116,Lists!$D$2:$D$40,0)),"")</f>
        <v/>
      </c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10">
        <f>IFERROR(INDEX(Sprints!$B$2:$B$60,MATCH(G117,Sprints!$A$2:$A$60,0)),"")</f>
        <v/>
      </c>
      <c r="J117" s="10">
        <f>IFERROR(INDEX(Sprints!$C$2:$C$60,MATCH(G117,Sprints!$A$2:$A$60,0)+H117-1),"")</f>
        <v/>
      </c>
      <c r="K117" s="10">
        <f>IFERROR(INDEX(Lists!$E$2:$E$40,MATCH(E117,Lists!$D$2:$D$40,0)),"")</f>
        <v/>
      </c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10">
        <f>IFERROR(INDEX(Sprints!$B$2:$B$60,MATCH(G118,Sprints!$A$2:$A$60,0)),"")</f>
        <v/>
      </c>
      <c r="J118" s="10">
        <f>IFERROR(INDEX(Sprints!$C$2:$C$60,MATCH(G118,Sprints!$A$2:$A$60,0)+H118-1),"")</f>
        <v/>
      </c>
      <c r="K118" s="10">
        <f>IFERROR(INDEX(Lists!$E$2:$E$40,MATCH(E118,Lists!$D$2:$D$40,0)),"")</f>
        <v/>
      </c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10">
        <f>IFERROR(INDEX(Sprints!$B$2:$B$60,MATCH(G119,Sprints!$A$2:$A$60,0)),"")</f>
        <v/>
      </c>
      <c r="J119" s="10">
        <f>IFERROR(INDEX(Sprints!$C$2:$C$60,MATCH(G119,Sprints!$A$2:$A$60,0)+H119-1),"")</f>
        <v/>
      </c>
      <c r="K119" s="10">
        <f>IFERROR(INDEX(Lists!$E$2:$E$40,MATCH(E119,Lists!$D$2:$D$40,0)),"")</f>
        <v/>
      </c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10">
        <f>IFERROR(INDEX(Sprints!$B$2:$B$60,MATCH(G120,Sprints!$A$2:$A$60,0)),"")</f>
        <v/>
      </c>
      <c r="J120" s="10">
        <f>IFERROR(INDEX(Sprints!$C$2:$C$60,MATCH(G120,Sprints!$A$2:$A$60,0)+H120-1),"")</f>
        <v/>
      </c>
      <c r="K120" s="10">
        <f>IFERROR(INDEX(Lists!$E$2:$E$40,MATCH(E120,Lists!$D$2:$D$40,0)),"")</f>
        <v/>
      </c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10">
        <f>IFERROR(INDEX(Sprints!$B$2:$B$60,MATCH(G121,Sprints!$A$2:$A$60,0)),"")</f>
        <v/>
      </c>
      <c r="J121" s="10">
        <f>IFERROR(INDEX(Sprints!$C$2:$C$60,MATCH(G121,Sprints!$A$2:$A$60,0)+H121-1),"")</f>
        <v/>
      </c>
      <c r="K121" s="10">
        <f>IFERROR(INDEX(Lists!$E$2:$E$40,MATCH(E121,Lists!$D$2:$D$40,0)),"")</f>
        <v/>
      </c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10">
        <f>IFERROR(INDEX(Sprints!$B$2:$B$60,MATCH(G122,Sprints!$A$2:$A$60,0)),"")</f>
        <v/>
      </c>
      <c r="J122" s="10">
        <f>IFERROR(INDEX(Sprints!$C$2:$C$60,MATCH(G122,Sprints!$A$2:$A$60,0)+H122-1),"")</f>
        <v/>
      </c>
      <c r="K122" s="10">
        <f>IFERROR(INDEX(Lists!$E$2:$E$40,MATCH(E122,Lists!$D$2:$D$40,0)),"")</f>
        <v/>
      </c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10">
        <f>IFERROR(INDEX(Sprints!$B$2:$B$60,MATCH(G123,Sprints!$A$2:$A$60,0)),"")</f>
        <v/>
      </c>
      <c r="J123" s="10">
        <f>IFERROR(INDEX(Sprints!$C$2:$C$60,MATCH(G123,Sprints!$A$2:$A$60,0)+H123-1),"")</f>
        <v/>
      </c>
      <c r="K123" s="10">
        <f>IFERROR(INDEX(Lists!$E$2:$E$40,MATCH(E123,Lists!$D$2:$D$40,0)),"")</f>
        <v/>
      </c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10">
        <f>IFERROR(INDEX(Sprints!$B$2:$B$60,MATCH(G124,Sprints!$A$2:$A$60,0)),"")</f>
        <v/>
      </c>
      <c r="J124" s="10">
        <f>IFERROR(INDEX(Sprints!$C$2:$C$60,MATCH(G124,Sprints!$A$2:$A$60,0)+H124-1),"")</f>
        <v/>
      </c>
      <c r="K124" s="10">
        <f>IFERROR(INDEX(Lists!$E$2:$E$40,MATCH(E124,Lists!$D$2:$D$40,0)),"")</f>
        <v/>
      </c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10">
        <f>IFERROR(INDEX(Sprints!$B$2:$B$60,MATCH(G125,Sprints!$A$2:$A$60,0)),"")</f>
        <v/>
      </c>
      <c r="J125" s="10">
        <f>IFERROR(INDEX(Sprints!$C$2:$C$60,MATCH(G125,Sprints!$A$2:$A$60,0)+H125-1),"")</f>
        <v/>
      </c>
      <c r="K125" s="10">
        <f>IFERROR(INDEX(Lists!$E$2:$E$40,MATCH(E125,Lists!$D$2:$D$40,0)),"")</f>
        <v/>
      </c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10">
        <f>IFERROR(INDEX(Sprints!$B$2:$B$60,MATCH(G126,Sprints!$A$2:$A$60,0)),"")</f>
        <v/>
      </c>
      <c r="J126" s="10">
        <f>IFERROR(INDEX(Sprints!$C$2:$C$60,MATCH(G126,Sprints!$A$2:$A$60,0)+H126-1),"")</f>
        <v/>
      </c>
      <c r="K126" s="10">
        <f>IFERROR(INDEX(Lists!$E$2:$E$40,MATCH(E126,Lists!$D$2:$D$40,0)),"")</f>
        <v/>
      </c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10">
        <f>IFERROR(INDEX(Sprints!$B$2:$B$60,MATCH(G127,Sprints!$A$2:$A$60,0)),"")</f>
        <v/>
      </c>
      <c r="J127" s="10">
        <f>IFERROR(INDEX(Sprints!$C$2:$C$60,MATCH(G127,Sprints!$A$2:$A$60,0)+H127-1),"")</f>
        <v/>
      </c>
      <c r="K127" s="10">
        <f>IFERROR(INDEX(Lists!$E$2:$E$40,MATCH(E127,Lists!$D$2:$D$40,0)),"")</f>
        <v/>
      </c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10">
        <f>IFERROR(INDEX(Sprints!$B$2:$B$60,MATCH(G128,Sprints!$A$2:$A$60,0)),"")</f>
        <v/>
      </c>
      <c r="J128" s="10">
        <f>IFERROR(INDEX(Sprints!$C$2:$C$60,MATCH(G128,Sprints!$A$2:$A$60,0)+H128-1),"")</f>
        <v/>
      </c>
      <c r="K128" s="10">
        <f>IFERROR(INDEX(Lists!$E$2:$E$40,MATCH(E128,Lists!$D$2:$D$40,0)),"")</f>
        <v/>
      </c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10">
        <f>IFERROR(INDEX(Sprints!$B$2:$B$60,MATCH(G129,Sprints!$A$2:$A$60,0)),"")</f>
        <v/>
      </c>
      <c r="J129" s="10">
        <f>IFERROR(INDEX(Sprints!$C$2:$C$60,MATCH(G129,Sprints!$A$2:$A$60,0)+H129-1),"")</f>
        <v/>
      </c>
      <c r="K129" s="10">
        <f>IFERROR(INDEX(Lists!$E$2:$E$40,MATCH(E129,Lists!$D$2:$D$40,0)),"")</f>
        <v/>
      </c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10">
        <f>IFERROR(INDEX(Sprints!$B$2:$B$60,MATCH(G130,Sprints!$A$2:$A$60,0)),"")</f>
        <v/>
      </c>
      <c r="J130" s="10">
        <f>IFERROR(INDEX(Sprints!$C$2:$C$60,MATCH(G130,Sprints!$A$2:$A$60,0)+H130-1),"")</f>
        <v/>
      </c>
      <c r="K130" s="10">
        <f>IFERROR(INDEX(Lists!$E$2:$E$40,MATCH(E130,Lists!$D$2:$D$40,0)),"")</f>
        <v/>
      </c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10">
        <f>IFERROR(INDEX(Sprints!$B$2:$B$60,MATCH(G131,Sprints!$A$2:$A$60,0)),"")</f>
        <v/>
      </c>
      <c r="J131" s="10">
        <f>IFERROR(INDEX(Sprints!$C$2:$C$60,MATCH(G131,Sprints!$A$2:$A$60,0)+H131-1),"")</f>
        <v/>
      </c>
      <c r="K131" s="10">
        <f>IFERROR(INDEX(Lists!$E$2:$E$40,MATCH(E131,Lists!$D$2:$D$40,0)),"")</f>
        <v/>
      </c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10">
        <f>IFERROR(INDEX(Sprints!$B$2:$B$60,MATCH(G132,Sprints!$A$2:$A$60,0)),"")</f>
        <v/>
      </c>
      <c r="J132" s="10">
        <f>IFERROR(INDEX(Sprints!$C$2:$C$60,MATCH(G132,Sprints!$A$2:$A$60,0)+H132-1),"")</f>
        <v/>
      </c>
      <c r="K132" s="10">
        <f>IFERROR(INDEX(Lists!$E$2:$E$40,MATCH(E132,Lists!$D$2:$D$40,0)),"")</f>
        <v/>
      </c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10">
        <f>IFERROR(INDEX(Sprints!$B$2:$B$60,MATCH(G133,Sprints!$A$2:$A$60,0)),"")</f>
        <v/>
      </c>
      <c r="J133" s="10">
        <f>IFERROR(INDEX(Sprints!$C$2:$C$60,MATCH(G133,Sprints!$A$2:$A$60,0)+H133-1),"")</f>
        <v/>
      </c>
      <c r="K133" s="10">
        <f>IFERROR(INDEX(Lists!$E$2:$E$40,MATCH(E133,Lists!$D$2:$D$40,0)),"")</f>
        <v/>
      </c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10">
        <f>IFERROR(INDEX(Sprints!$B$2:$B$60,MATCH(G134,Sprints!$A$2:$A$60,0)),"")</f>
        <v/>
      </c>
      <c r="J134" s="10">
        <f>IFERROR(INDEX(Sprints!$C$2:$C$60,MATCH(G134,Sprints!$A$2:$A$60,0)+H134-1),"")</f>
        <v/>
      </c>
      <c r="K134" s="10">
        <f>IFERROR(INDEX(Lists!$E$2:$E$40,MATCH(E134,Lists!$D$2:$D$40,0)),"")</f>
        <v/>
      </c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10">
        <f>IFERROR(INDEX(Sprints!$B$2:$B$60,MATCH(G135,Sprints!$A$2:$A$60,0)),"")</f>
        <v/>
      </c>
      <c r="J135" s="10">
        <f>IFERROR(INDEX(Sprints!$C$2:$C$60,MATCH(G135,Sprints!$A$2:$A$60,0)+H135-1),"")</f>
        <v/>
      </c>
      <c r="K135" s="10">
        <f>IFERROR(INDEX(Lists!$E$2:$E$40,MATCH(E135,Lists!$D$2:$D$40,0)),"")</f>
        <v/>
      </c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10">
        <f>IFERROR(INDEX(Sprints!$B$2:$B$60,MATCH(G136,Sprints!$A$2:$A$60,0)),"")</f>
        <v/>
      </c>
      <c r="J136" s="10">
        <f>IFERROR(INDEX(Sprints!$C$2:$C$60,MATCH(G136,Sprints!$A$2:$A$60,0)+H136-1),"")</f>
        <v/>
      </c>
      <c r="K136" s="10">
        <f>IFERROR(INDEX(Lists!$E$2:$E$40,MATCH(E136,Lists!$D$2:$D$40,0)),"")</f>
        <v/>
      </c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10">
        <f>IFERROR(INDEX(Sprints!$B$2:$B$60,MATCH(G137,Sprints!$A$2:$A$60,0)),"")</f>
        <v/>
      </c>
      <c r="J137" s="10">
        <f>IFERROR(INDEX(Sprints!$C$2:$C$60,MATCH(G137,Sprints!$A$2:$A$60,0)+H137-1),"")</f>
        <v/>
      </c>
      <c r="K137" s="10">
        <f>IFERROR(INDEX(Lists!$E$2:$E$40,MATCH(E137,Lists!$D$2:$D$40,0)),"")</f>
        <v/>
      </c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10">
        <f>IFERROR(INDEX(Sprints!$B$2:$B$60,MATCH(G138,Sprints!$A$2:$A$60,0)),"")</f>
        <v/>
      </c>
      <c r="J138" s="10">
        <f>IFERROR(INDEX(Sprints!$C$2:$C$60,MATCH(G138,Sprints!$A$2:$A$60,0)+H138-1),"")</f>
        <v/>
      </c>
      <c r="K138" s="10">
        <f>IFERROR(INDEX(Lists!$E$2:$E$40,MATCH(E138,Lists!$D$2:$D$40,0)),"")</f>
        <v/>
      </c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10">
        <f>IFERROR(INDEX(Sprints!$B$2:$B$60,MATCH(G139,Sprints!$A$2:$A$60,0)),"")</f>
        <v/>
      </c>
      <c r="J139" s="10">
        <f>IFERROR(INDEX(Sprints!$C$2:$C$60,MATCH(G139,Sprints!$A$2:$A$60,0)+H139-1),"")</f>
        <v/>
      </c>
      <c r="K139" s="10">
        <f>IFERROR(INDEX(Lists!$E$2:$E$40,MATCH(E139,Lists!$D$2:$D$40,0)),"")</f>
        <v/>
      </c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10">
        <f>IFERROR(INDEX(Sprints!$B$2:$B$60,MATCH(G140,Sprints!$A$2:$A$60,0)),"")</f>
        <v/>
      </c>
      <c r="J140" s="10">
        <f>IFERROR(INDEX(Sprints!$C$2:$C$60,MATCH(G140,Sprints!$A$2:$A$60,0)+H140-1),"")</f>
        <v/>
      </c>
      <c r="K140" s="10">
        <f>IFERROR(INDEX(Lists!$E$2:$E$40,MATCH(E140,Lists!$D$2:$D$40,0)),"")</f>
        <v/>
      </c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10">
        <f>IFERROR(INDEX(Sprints!$B$2:$B$60,MATCH(G141,Sprints!$A$2:$A$60,0)),"")</f>
        <v/>
      </c>
      <c r="J141" s="10">
        <f>IFERROR(INDEX(Sprints!$C$2:$C$60,MATCH(G141,Sprints!$A$2:$A$60,0)+H141-1),"")</f>
        <v/>
      </c>
      <c r="K141" s="10">
        <f>IFERROR(INDEX(Lists!$E$2:$E$40,MATCH(E141,Lists!$D$2:$D$40,0)),"")</f>
        <v/>
      </c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10">
        <f>IFERROR(INDEX(Sprints!$B$2:$B$60,MATCH(G142,Sprints!$A$2:$A$60,0)),"")</f>
        <v/>
      </c>
      <c r="J142" s="10">
        <f>IFERROR(INDEX(Sprints!$C$2:$C$60,MATCH(G142,Sprints!$A$2:$A$60,0)+H142-1),"")</f>
        <v/>
      </c>
      <c r="K142" s="10">
        <f>IFERROR(INDEX(Lists!$E$2:$E$40,MATCH(E142,Lists!$D$2:$D$40,0)),"")</f>
        <v/>
      </c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10">
        <f>IFERROR(INDEX(Sprints!$B$2:$B$60,MATCH(G143,Sprints!$A$2:$A$60,0)),"")</f>
        <v/>
      </c>
      <c r="J143" s="10">
        <f>IFERROR(INDEX(Sprints!$C$2:$C$60,MATCH(G143,Sprints!$A$2:$A$60,0)+H143-1),"")</f>
        <v/>
      </c>
      <c r="K143" s="10">
        <f>IFERROR(INDEX(Lists!$E$2:$E$40,MATCH(E143,Lists!$D$2:$D$40,0)),"")</f>
        <v/>
      </c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10">
        <f>IFERROR(INDEX(Sprints!$B$2:$B$60,MATCH(G144,Sprints!$A$2:$A$60,0)),"")</f>
        <v/>
      </c>
      <c r="J144" s="10">
        <f>IFERROR(INDEX(Sprints!$C$2:$C$60,MATCH(G144,Sprints!$A$2:$A$60,0)+H144-1),"")</f>
        <v/>
      </c>
      <c r="K144" s="10">
        <f>IFERROR(INDEX(Lists!$E$2:$E$40,MATCH(E144,Lists!$D$2:$D$40,0)),"")</f>
        <v/>
      </c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10">
        <f>IFERROR(INDEX(Sprints!$B$2:$B$60,MATCH(G145,Sprints!$A$2:$A$60,0)),"")</f>
        <v/>
      </c>
      <c r="J145" s="10">
        <f>IFERROR(INDEX(Sprints!$C$2:$C$60,MATCH(G145,Sprints!$A$2:$A$60,0)+H145-1),"")</f>
        <v/>
      </c>
      <c r="K145" s="10">
        <f>IFERROR(INDEX(Lists!$E$2:$E$40,MATCH(E145,Lists!$D$2:$D$40,0)),"")</f>
        <v/>
      </c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10">
        <f>IFERROR(INDEX(Sprints!$B$2:$B$60,MATCH(G146,Sprints!$A$2:$A$60,0)),"")</f>
        <v/>
      </c>
      <c r="J146" s="10">
        <f>IFERROR(INDEX(Sprints!$C$2:$C$60,MATCH(G146,Sprints!$A$2:$A$60,0)+H146-1),"")</f>
        <v/>
      </c>
      <c r="K146" s="10">
        <f>IFERROR(INDEX(Lists!$E$2:$E$40,MATCH(E146,Lists!$D$2:$D$40,0)),"")</f>
        <v/>
      </c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10">
        <f>IFERROR(INDEX(Sprints!$B$2:$B$60,MATCH(G147,Sprints!$A$2:$A$60,0)),"")</f>
        <v/>
      </c>
      <c r="J147" s="10">
        <f>IFERROR(INDEX(Sprints!$C$2:$C$60,MATCH(G147,Sprints!$A$2:$A$60,0)+H147-1),"")</f>
        <v/>
      </c>
      <c r="K147" s="10">
        <f>IFERROR(INDEX(Lists!$E$2:$E$40,MATCH(E147,Lists!$D$2:$D$40,0)),"")</f>
        <v/>
      </c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10">
        <f>IFERROR(INDEX(Sprints!$B$2:$B$60,MATCH(G148,Sprints!$A$2:$A$60,0)),"")</f>
        <v/>
      </c>
      <c r="J148" s="10">
        <f>IFERROR(INDEX(Sprints!$C$2:$C$60,MATCH(G148,Sprints!$A$2:$A$60,0)+H148-1),"")</f>
        <v/>
      </c>
      <c r="K148" s="10">
        <f>IFERROR(INDEX(Lists!$E$2:$E$40,MATCH(E148,Lists!$D$2:$D$40,0)),"")</f>
        <v/>
      </c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10">
        <f>IFERROR(INDEX(Sprints!$B$2:$B$60,MATCH(G149,Sprints!$A$2:$A$60,0)),"")</f>
        <v/>
      </c>
      <c r="J149" s="10">
        <f>IFERROR(INDEX(Sprints!$C$2:$C$60,MATCH(G149,Sprints!$A$2:$A$60,0)+H149-1),"")</f>
        <v/>
      </c>
      <c r="K149" s="10">
        <f>IFERROR(INDEX(Lists!$E$2:$E$40,MATCH(E149,Lists!$D$2:$D$40,0)),"")</f>
        <v/>
      </c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10">
        <f>IFERROR(INDEX(Sprints!$B$2:$B$60,MATCH(G150,Sprints!$A$2:$A$60,0)),"")</f>
        <v/>
      </c>
      <c r="J150" s="10">
        <f>IFERROR(INDEX(Sprints!$C$2:$C$60,MATCH(G150,Sprints!$A$2:$A$60,0)+H150-1),"")</f>
        <v/>
      </c>
      <c r="K150" s="10">
        <f>IFERROR(INDEX(Lists!$E$2:$E$40,MATCH(E150,Lists!$D$2:$D$40,0)),"")</f>
        <v/>
      </c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10">
        <f>IFERROR(INDEX(Sprints!$B$2:$B$60,MATCH(G151,Sprints!$A$2:$A$60,0)),"")</f>
        <v/>
      </c>
      <c r="J151" s="10">
        <f>IFERROR(INDEX(Sprints!$C$2:$C$60,MATCH(G151,Sprints!$A$2:$A$60,0)+H151-1),"")</f>
        <v/>
      </c>
      <c r="K151" s="10">
        <f>IFERROR(INDEX(Lists!$E$2:$E$40,MATCH(E151,Lists!$D$2:$D$40,0)),"")</f>
        <v/>
      </c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10">
        <f>IFERROR(INDEX(Sprints!$B$2:$B$60,MATCH(G152,Sprints!$A$2:$A$60,0)),"")</f>
        <v/>
      </c>
      <c r="J152" s="10">
        <f>IFERROR(INDEX(Sprints!$C$2:$C$60,MATCH(G152,Sprints!$A$2:$A$60,0)+H152-1),"")</f>
        <v/>
      </c>
      <c r="K152" s="10">
        <f>IFERROR(INDEX(Lists!$E$2:$E$40,MATCH(E152,Lists!$D$2:$D$40,0)),"")</f>
        <v/>
      </c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10">
        <f>IFERROR(INDEX(Sprints!$B$2:$B$60,MATCH(G153,Sprints!$A$2:$A$60,0)),"")</f>
        <v/>
      </c>
      <c r="J153" s="10">
        <f>IFERROR(INDEX(Sprints!$C$2:$C$60,MATCH(G153,Sprints!$A$2:$A$60,0)+H153-1),"")</f>
        <v/>
      </c>
      <c r="K153" s="10">
        <f>IFERROR(INDEX(Lists!$E$2:$E$40,MATCH(E153,Lists!$D$2:$D$40,0)),"")</f>
        <v/>
      </c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10">
        <f>IFERROR(INDEX(Sprints!$B$2:$B$60,MATCH(G154,Sprints!$A$2:$A$60,0)),"")</f>
        <v/>
      </c>
      <c r="J154" s="10">
        <f>IFERROR(INDEX(Sprints!$C$2:$C$60,MATCH(G154,Sprints!$A$2:$A$60,0)+H154-1),"")</f>
        <v/>
      </c>
      <c r="K154" s="10">
        <f>IFERROR(INDEX(Lists!$E$2:$E$40,MATCH(E154,Lists!$D$2:$D$40,0)),"")</f>
        <v/>
      </c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10">
        <f>IFERROR(INDEX(Sprints!$B$2:$B$60,MATCH(G155,Sprints!$A$2:$A$60,0)),"")</f>
        <v/>
      </c>
      <c r="J155" s="10">
        <f>IFERROR(INDEX(Sprints!$C$2:$C$60,MATCH(G155,Sprints!$A$2:$A$60,0)+H155-1),"")</f>
        <v/>
      </c>
      <c r="K155" s="10">
        <f>IFERROR(INDEX(Lists!$E$2:$E$40,MATCH(E155,Lists!$D$2:$D$40,0)),"")</f>
        <v/>
      </c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10">
        <f>IFERROR(INDEX(Sprints!$B$2:$B$60,MATCH(G156,Sprints!$A$2:$A$60,0)),"")</f>
        <v/>
      </c>
      <c r="J156" s="10">
        <f>IFERROR(INDEX(Sprints!$C$2:$C$60,MATCH(G156,Sprints!$A$2:$A$60,0)+H156-1),"")</f>
        <v/>
      </c>
      <c r="K156" s="10">
        <f>IFERROR(INDEX(Lists!$E$2:$E$40,MATCH(E156,Lists!$D$2:$D$40,0)),"")</f>
        <v/>
      </c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10">
        <f>IFERROR(INDEX(Sprints!$B$2:$B$60,MATCH(G157,Sprints!$A$2:$A$60,0)),"")</f>
        <v/>
      </c>
      <c r="J157" s="10">
        <f>IFERROR(INDEX(Sprints!$C$2:$C$60,MATCH(G157,Sprints!$A$2:$A$60,0)+H157-1),"")</f>
        <v/>
      </c>
      <c r="K157" s="10">
        <f>IFERROR(INDEX(Lists!$E$2:$E$40,MATCH(E157,Lists!$D$2:$D$40,0)),"")</f>
        <v/>
      </c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10">
        <f>IFERROR(INDEX(Sprints!$B$2:$B$60,MATCH(G158,Sprints!$A$2:$A$60,0)),"")</f>
        <v/>
      </c>
      <c r="J158" s="10">
        <f>IFERROR(INDEX(Sprints!$C$2:$C$60,MATCH(G158,Sprints!$A$2:$A$60,0)+H158-1),"")</f>
        <v/>
      </c>
      <c r="K158" s="10">
        <f>IFERROR(INDEX(Lists!$E$2:$E$40,MATCH(E158,Lists!$D$2:$D$40,0)),"")</f>
        <v/>
      </c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10">
        <f>IFERROR(INDEX(Sprints!$B$2:$B$60,MATCH(G159,Sprints!$A$2:$A$60,0)),"")</f>
        <v/>
      </c>
      <c r="J159" s="10">
        <f>IFERROR(INDEX(Sprints!$C$2:$C$60,MATCH(G159,Sprints!$A$2:$A$60,0)+H159-1),"")</f>
        <v/>
      </c>
      <c r="K159" s="10">
        <f>IFERROR(INDEX(Lists!$E$2:$E$40,MATCH(E159,Lists!$D$2:$D$40,0)),"")</f>
        <v/>
      </c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10">
        <f>IFERROR(INDEX(Sprints!$B$2:$B$60,MATCH(G160,Sprints!$A$2:$A$60,0)),"")</f>
        <v/>
      </c>
      <c r="J160" s="10">
        <f>IFERROR(INDEX(Sprints!$C$2:$C$60,MATCH(G160,Sprints!$A$2:$A$60,0)+H160-1),"")</f>
        <v/>
      </c>
      <c r="K160" s="10">
        <f>IFERROR(INDEX(Lists!$E$2:$E$40,MATCH(E160,Lists!$D$2:$D$40,0)),"")</f>
        <v/>
      </c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10">
        <f>IFERROR(INDEX(Sprints!$B$2:$B$60,MATCH(G161,Sprints!$A$2:$A$60,0)),"")</f>
        <v/>
      </c>
      <c r="J161" s="10">
        <f>IFERROR(INDEX(Sprints!$C$2:$C$60,MATCH(G161,Sprints!$A$2:$A$60,0)+H161-1),"")</f>
        <v/>
      </c>
      <c r="K161" s="10">
        <f>IFERROR(INDEX(Lists!$E$2:$E$40,MATCH(E161,Lists!$D$2:$D$40,0)),"")</f>
        <v/>
      </c>
    </row>
  </sheetData>
  <dataValidations count="6">
    <dataValidation sqref="B2:B161" showDropDown="0" showInputMessage="0" showErrorMessage="0" allowBlank="1" type="list">
      <formula1>=Lists!$A$2:$A$5</formula1>
    </dataValidation>
    <dataValidation sqref="C2:C161" showDropDown="0" showInputMessage="0" showErrorMessage="0" allowBlank="1" type="list">
      <formula1>=Lists!$B$2:$B$4</formula1>
    </dataValidation>
    <dataValidation sqref="E2:E161" showDropDown="0" showInputMessage="0" showErrorMessage="0" allowBlank="1" type="list">
      <formula1>=Lists!$D$2:$D$20</formula1>
    </dataValidation>
    <dataValidation sqref="F2:F161" showDropDown="0" showInputMessage="0" showErrorMessage="0" allowBlank="1" type="list">
      <formula1>=People!$B$2:$B$60</formula1>
    </dataValidation>
    <dataValidation sqref="G2:G161" showDropDown="0" showInputMessage="0" showErrorMessage="0" allowBlank="1" type="list">
      <formula1>=Sprints!$A$2:$A$60</formula1>
    </dataValidation>
    <dataValidation sqref="A2:A161" showDropDown="0" showInputMessage="0" showErrorMessage="0" allowBlank="1" type="list">
      <formula1>=ProcessGroups!$A$2:$A$80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2" customWidth="1" min="3" max="3"/>
    <col width="32" customWidth="1" min="4" max="4"/>
    <col width="42" customWidth="1" min="5" max="5"/>
    <col width="14" customWidth="1" min="6" max="6"/>
  </cols>
  <sheetData>
    <row r="1" ht="26" customHeight="1">
      <c r="A1" s="6" t="inlineStr">
        <is>
          <t>Scope</t>
        </is>
      </c>
      <c r="B1" s="6" t="inlineStr">
        <is>
          <t>Process group ID</t>
        </is>
      </c>
      <c r="C1" s="6" t="inlineStr">
        <is>
          <t>Sprint</t>
        </is>
      </c>
      <c r="D1" s="6" t="inlineStr">
        <is>
          <t>Milestone type</t>
        </is>
      </c>
      <c r="E1" s="6" t="inlineStr">
        <is>
          <t>Name</t>
        </is>
      </c>
      <c r="F1" s="6" t="inlineStr">
        <is>
          <t>Date</t>
        </is>
      </c>
    </row>
    <row r="2">
      <c r="A2" s="9" t="inlineStr">
        <is>
          <t>Process group</t>
        </is>
      </c>
      <c r="B2" s="9" t="inlineStr">
        <is>
          <t>PG-01</t>
        </is>
      </c>
      <c r="C2" s="9" t="inlineStr">
        <is>
          <t>S4</t>
        </is>
      </c>
      <c r="D2" s="9" t="inlineStr">
        <is>
          <t>Discovery to backlog</t>
        </is>
      </c>
      <c r="E2" s="9" t="inlineStr">
        <is>
          <t>Synthesis to 6 backlog items — EXAMPLE</t>
        </is>
      </c>
      <c r="F2" s="10">
        <f>IFERROR(INDEX(Sprints!$C$2:$C$60,MATCH(C2,Sprints!$A$2:$A$60,0)),"")</f>
        <v/>
      </c>
    </row>
    <row r="3">
      <c r="A3" s="8" t="n"/>
      <c r="B3" s="8" t="n"/>
      <c r="C3" s="8" t="n"/>
      <c r="D3" s="8" t="n"/>
      <c r="E3" s="8" t="n"/>
      <c r="F3" s="10">
        <f>IFERROR(INDEX(Sprints!$C$2:$C$60,MATCH(C3,Sprints!$A$2:$A$60,0)),"")</f>
        <v/>
      </c>
    </row>
    <row r="4">
      <c r="A4" s="8" t="n"/>
      <c r="B4" s="8" t="n"/>
      <c r="C4" s="8" t="n"/>
      <c r="D4" s="8" t="n"/>
      <c r="E4" s="8" t="n"/>
      <c r="F4" s="10">
        <f>IFERROR(INDEX(Sprints!$C$2:$C$60,MATCH(C4,Sprints!$A$2:$A$60,0)),"")</f>
        <v/>
      </c>
    </row>
    <row r="5">
      <c r="A5" s="8" t="n"/>
      <c r="B5" s="8" t="n"/>
      <c r="C5" s="8" t="n"/>
      <c r="D5" s="8" t="n"/>
      <c r="E5" s="8" t="n"/>
      <c r="F5" s="10">
        <f>IFERROR(INDEX(Sprints!$C$2:$C$60,MATCH(C5,Sprints!$A$2:$A$60,0)),"")</f>
        <v/>
      </c>
    </row>
    <row r="6">
      <c r="A6" s="8" t="n"/>
      <c r="B6" s="8" t="n"/>
      <c r="C6" s="8" t="n"/>
      <c r="D6" s="8" t="n"/>
      <c r="E6" s="8" t="n"/>
      <c r="F6" s="10">
        <f>IFERROR(INDEX(Sprints!$C$2:$C$60,MATCH(C6,Sprints!$A$2:$A$60,0)),"")</f>
        <v/>
      </c>
    </row>
    <row r="7">
      <c r="A7" s="8" t="n"/>
      <c r="B7" s="8" t="n"/>
      <c r="C7" s="8" t="n"/>
      <c r="D7" s="8" t="n"/>
      <c r="E7" s="8" t="n"/>
      <c r="F7" s="10">
        <f>IFERROR(INDEX(Sprints!$C$2:$C$60,MATCH(C7,Sprints!$A$2:$A$60,0)),"")</f>
        <v/>
      </c>
    </row>
    <row r="8">
      <c r="A8" s="8" t="n"/>
      <c r="B8" s="8" t="n"/>
      <c r="C8" s="8" t="n"/>
      <c r="D8" s="8" t="n"/>
      <c r="E8" s="8" t="n"/>
      <c r="F8" s="10">
        <f>IFERROR(INDEX(Sprints!$C$2:$C$60,MATCH(C8,Sprints!$A$2:$A$60,0)),"")</f>
        <v/>
      </c>
    </row>
    <row r="9">
      <c r="A9" s="8" t="n"/>
      <c r="B9" s="8" t="n"/>
      <c r="C9" s="8" t="n"/>
      <c r="D9" s="8" t="n"/>
      <c r="E9" s="8" t="n"/>
      <c r="F9" s="10">
        <f>IFERROR(INDEX(Sprints!$C$2:$C$60,MATCH(C9,Sprints!$A$2:$A$60,0)),"")</f>
        <v/>
      </c>
    </row>
    <row r="10">
      <c r="A10" s="8" t="n"/>
      <c r="B10" s="8" t="n"/>
      <c r="C10" s="8" t="n"/>
      <c r="D10" s="8" t="n"/>
      <c r="E10" s="8" t="n"/>
      <c r="F10" s="10">
        <f>IFERROR(INDEX(Sprints!$C$2:$C$60,MATCH(C10,Sprints!$A$2:$A$60,0)),"")</f>
        <v/>
      </c>
    </row>
    <row r="11">
      <c r="A11" s="8" t="n"/>
      <c r="B11" s="8" t="n"/>
      <c r="C11" s="8" t="n"/>
      <c r="D11" s="8" t="n"/>
      <c r="E11" s="8" t="n"/>
      <c r="F11" s="10">
        <f>IFERROR(INDEX(Sprints!$C$2:$C$60,MATCH(C11,Sprints!$A$2:$A$60,0)),"")</f>
        <v/>
      </c>
    </row>
    <row r="12">
      <c r="A12" s="8" t="n"/>
      <c r="B12" s="8" t="n"/>
      <c r="C12" s="8" t="n"/>
      <c r="D12" s="8" t="n"/>
      <c r="E12" s="8" t="n"/>
      <c r="F12" s="10">
        <f>IFERROR(INDEX(Sprints!$C$2:$C$60,MATCH(C12,Sprints!$A$2:$A$60,0)),"")</f>
        <v/>
      </c>
    </row>
    <row r="13">
      <c r="A13" s="8" t="n"/>
      <c r="B13" s="8" t="n"/>
      <c r="C13" s="8" t="n"/>
      <c r="D13" s="8" t="n"/>
      <c r="E13" s="8" t="n"/>
      <c r="F13" s="10">
        <f>IFERROR(INDEX(Sprints!$C$2:$C$60,MATCH(C13,Sprints!$A$2:$A$60,0)),"")</f>
        <v/>
      </c>
    </row>
    <row r="14">
      <c r="A14" s="8" t="n"/>
      <c r="B14" s="8" t="n"/>
      <c r="C14" s="8" t="n"/>
      <c r="D14" s="8" t="n"/>
      <c r="E14" s="8" t="n"/>
      <c r="F14" s="10">
        <f>IFERROR(INDEX(Sprints!$C$2:$C$60,MATCH(C14,Sprints!$A$2:$A$60,0)),"")</f>
        <v/>
      </c>
    </row>
    <row r="15">
      <c r="A15" s="8" t="n"/>
      <c r="B15" s="8" t="n"/>
      <c r="C15" s="8" t="n"/>
      <c r="D15" s="8" t="n"/>
      <c r="E15" s="8" t="n"/>
      <c r="F15" s="10">
        <f>IFERROR(INDEX(Sprints!$C$2:$C$60,MATCH(C15,Sprints!$A$2:$A$60,0)),"")</f>
        <v/>
      </c>
    </row>
    <row r="16">
      <c r="A16" s="8" t="n"/>
      <c r="B16" s="8" t="n"/>
      <c r="C16" s="8" t="n"/>
      <c r="D16" s="8" t="n"/>
      <c r="E16" s="8" t="n"/>
      <c r="F16" s="10">
        <f>IFERROR(INDEX(Sprints!$C$2:$C$60,MATCH(C16,Sprints!$A$2:$A$60,0)),"")</f>
        <v/>
      </c>
    </row>
    <row r="17">
      <c r="A17" s="8" t="n"/>
      <c r="B17" s="8" t="n"/>
      <c r="C17" s="8" t="n"/>
      <c r="D17" s="8" t="n"/>
      <c r="E17" s="8" t="n"/>
      <c r="F17" s="10">
        <f>IFERROR(INDEX(Sprints!$C$2:$C$60,MATCH(C17,Sprints!$A$2:$A$60,0)),"")</f>
        <v/>
      </c>
    </row>
    <row r="18">
      <c r="A18" s="8" t="n"/>
      <c r="B18" s="8" t="n"/>
      <c r="C18" s="8" t="n"/>
      <c r="D18" s="8" t="n"/>
      <c r="E18" s="8" t="n"/>
      <c r="F18" s="10">
        <f>IFERROR(INDEX(Sprints!$C$2:$C$60,MATCH(C18,Sprints!$A$2:$A$60,0)),"")</f>
        <v/>
      </c>
    </row>
    <row r="19">
      <c r="A19" s="8" t="n"/>
      <c r="B19" s="8" t="n"/>
      <c r="C19" s="8" t="n"/>
      <c r="D19" s="8" t="n"/>
      <c r="E19" s="8" t="n"/>
      <c r="F19" s="10">
        <f>IFERROR(INDEX(Sprints!$C$2:$C$60,MATCH(C19,Sprints!$A$2:$A$60,0)),"")</f>
        <v/>
      </c>
    </row>
    <row r="20">
      <c r="A20" s="8" t="n"/>
      <c r="B20" s="8" t="n"/>
      <c r="C20" s="8" t="n"/>
      <c r="D20" s="8" t="n"/>
      <c r="E20" s="8" t="n"/>
      <c r="F20" s="10">
        <f>IFERROR(INDEX(Sprints!$C$2:$C$60,MATCH(C20,Sprints!$A$2:$A$60,0)),"")</f>
        <v/>
      </c>
    </row>
    <row r="21">
      <c r="A21" s="8" t="n"/>
      <c r="B21" s="8" t="n"/>
      <c r="C21" s="8" t="n"/>
      <c r="D21" s="8" t="n"/>
      <c r="E21" s="8" t="n"/>
      <c r="F21" s="10">
        <f>IFERROR(INDEX(Sprints!$C$2:$C$60,MATCH(C21,Sprints!$A$2:$A$60,0)),"")</f>
        <v/>
      </c>
    </row>
    <row r="22">
      <c r="A22" s="8" t="n"/>
      <c r="B22" s="8" t="n"/>
      <c r="C22" s="8" t="n"/>
      <c r="D22" s="8" t="n"/>
      <c r="E22" s="8" t="n"/>
      <c r="F22" s="10">
        <f>IFERROR(INDEX(Sprints!$C$2:$C$60,MATCH(C22,Sprints!$A$2:$A$60,0)),"")</f>
        <v/>
      </c>
    </row>
    <row r="23">
      <c r="A23" s="8" t="n"/>
      <c r="B23" s="8" t="n"/>
      <c r="C23" s="8" t="n"/>
      <c r="D23" s="8" t="n"/>
      <c r="E23" s="8" t="n"/>
      <c r="F23" s="10">
        <f>IFERROR(INDEX(Sprints!$C$2:$C$60,MATCH(C23,Sprints!$A$2:$A$60,0)),"")</f>
        <v/>
      </c>
    </row>
    <row r="24">
      <c r="A24" s="8" t="n"/>
      <c r="B24" s="8" t="n"/>
      <c r="C24" s="8" t="n"/>
      <c r="D24" s="8" t="n"/>
      <c r="E24" s="8" t="n"/>
      <c r="F24" s="10">
        <f>IFERROR(INDEX(Sprints!$C$2:$C$60,MATCH(C24,Sprints!$A$2:$A$60,0)),"")</f>
        <v/>
      </c>
    </row>
    <row r="25">
      <c r="A25" s="8" t="n"/>
      <c r="B25" s="8" t="n"/>
      <c r="C25" s="8" t="n"/>
      <c r="D25" s="8" t="n"/>
      <c r="E25" s="8" t="n"/>
      <c r="F25" s="10">
        <f>IFERROR(INDEX(Sprints!$C$2:$C$60,MATCH(C25,Sprints!$A$2:$A$60,0)),"")</f>
        <v/>
      </c>
    </row>
    <row r="26">
      <c r="A26" s="8" t="n"/>
      <c r="B26" s="8" t="n"/>
      <c r="C26" s="8" t="n"/>
      <c r="D26" s="8" t="n"/>
      <c r="E26" s="8" t="n"/>
      <c r="F26" s="10">
        <f>IFERROR(INDEX(Sprints!$C$2:$C$60,MATCH(C26,Sprints!$A$2:$A$60,0)),"")</f>
        <v/>
      </c>
    </row>
    <row r="27">
      <c r="A27" s="8" t="n"/>
      <c r="B27" s="8" t="n"/>
      <c r="C27" s="8" t="n"/>
      <c r="D27" s="8" t="n"/>
      <c r="E27" s="8" t="n"/>
      <c r="F27" s="10">
        <f>IFERROR(INDEX(Sprints!$C$2:$C$60,MATCH(C27,Sprints!$A$2:$A$60,0)),"")</f>
        <v/>
      </c>
    </row>
    <row r="28">
      <c r="A28" s="8" t="n"/>
      <c r="B28" s="8" t="n"/>
      <c r="C28" s="8" t="n"/>
      <c r="D28" s="8" t="n"/>
      <c r="E28" s="8" t="n"/>
      <c r="F28" s="10">
        <f>IFERROR(INDEX(Sprints!$C$2:$C$60,MATCH(C28,Sprints!$A$2:$A$60,0)),"")</f>
        <v/>
      </c>
    </row>
    <row r="29">
      <c r="A29" s="8" t="n"/>
      <c r="B29" s="8" t="n"/>
      <c r="C29" s="8" t="n"/>
      <c r="D29" s="8" t="n"/>
      <c r="E29" s="8" t="n"/>
      <c r="F29" s="10">
        <f>IFERROR(INDEX(Sprints!$C$2:$C$60,MATCH(C29,Sprints!$A$2:$A$60,0)),"")</f>
        <v/>
      </c>
    </row>
    <row r="30">
      <c r="A30" s="8" t="n"/>
      <c r="B30" s="8" t="n"/>
      <c r="C30" s="8" t="n"/>
      <c r="D30" s="8" t="n"/>
      <c r="E30" s="8" t="n"/>
      <c r="F30" s="10">
        <f>IFERROR(INDEX(Sprints!$C$2:$C$60,MATCH(C30,Sprints!$A$2:$A$60,0)),"")</f>
        <v/>
      </c>
    </row>
    <row r="31">
      <c r="A31" s="8" t="n"/>
      <c r="B31" s="8" t="n"/>
      <c r="C31" s="8" t="n"/>
      <c r="D31" s="8" t="n"/>
      <c r="E31" s="8" t="n"/>
      <c r="F31" s="10">
        <f>IFERROR(INDEX(Sprints!$C$2:$C$60,MATCH(C31,Sprints!$A$2:$A$60,0)),"")</f>
        <v/>
      </c>
    </row>
    <row r="32">
      <c r="A32" s="8" t="n"/>
      <c r="B32" s="8" t="n"/>
      <c r="C32" s="8" t="n"/>
      <c r="D32" s="8" t="n"/>
      <c r="E32" s="8" t="n"/>
      <c r="F32" s="10">
        <f>IFERROR(INDEX(Sprints!$C$2:$C$60,MATCH(C32,Sprints!$A$2:$A$60,0)),"")</f>
        <v/>
      </c>
    </row>
    <row r="33">
      <c r="A33" s="8" t="n"/>
      <c r="B33" s="8" t="n"/>
      <c r="C33" s="8" t="n"/>
      <c r="D33" s="8" t="n"/>
      <c r="E33" s="8" t="n"/>
      <c r="F33" s="10">
        <f>IFERROR(INDEX(Sprints!$C$2:$C$60,MATCH(C33,Sprints!$A$2:$A$60,0)),"")</f>
        <v/>
      </c>
    </row>
    <row r="34">
      <c r="A34" s="8" t="n"/>
      <c r="B34" s="8" t="n"/>
      <c r="C34" s="8" t="n"/>
      <c r="D34" s="8" t="n"/>
      <c r="E34" s="8" t="n"/>
      <c r="F34" s="10">
        <f>IFERROR(INDEX(Sprints!$C$2:$C$60,MATCH(C34,Sprints!$A$2:$A$60,0)),"")</f>
        <v/>
      </c>
    </row>
    <row r="35">
      <c r="A35" s="8" t="n"/>
      <c r="B35" s="8" t="n"/>
      <c r="C35" s="8" t="n"/>
      <c r="D35" s="8" t="n"/>
      <c r="E35" s="8" t="n"/>
      <c r="F35" s="10">
        <f>IFERROR(INDEX(Sprints!$C$2:$C$60,MATCH(C35,Sprints!$A$2:$A$60,0)),"")</f>
        <v/>
      </c>
    </row>
    <row r="36">
      <c r="A36" s="8" t="n"/>
      <c r="B36" s="8" t="n"/>
      <c r="C36" s="8" t="n"/>
      <c r="D36" s="8" t="n"/>
      <c r="E36" s="8" t="n"/>
      <c r="F36" s="10">
        <f>IFERROR(INDEX(Sprints!$C$2:$C$60,MATCH(C36,Sprints!$A$2:$A$60,0)),"")</f>
        <v/>
      </c>
    </row>
    <row r="37">
      <c r="A37" s="8" t="n"/>
      <c r="B37" s="8" t="n"/>
      <c r="C37" s="8" t="n"/>
      <c r="D37" s="8" t="n"/>
      <c r="E37" s="8" t="n"/>
      <c r="F37" s="10">
        <f>IFERROR(INDEX(Sprints!$C$2:$C$60,MATCH(C37,Sprints!$A$2:$A$60,0)),"")</f>
        <v/>
      </c>
    </row>
    <row r="38">
      <c r="A38" s="8" t="n"/>
      <c r="B38" s="8" t="n"/>
      <c r="C38" s="8" t="n"/>
      <c r="D38" s="8" t="n"/>
      <c r="E38" s="8" t="n"/>
      <c r="F38" s="10">
        <f>IFERROR(INDEX(Sprints!$C$2:$C$60,MATCH(C38,Sprints!$A$2:$A$60,0)),"")</f>
        <v/>
      </c>
    </row>
    <row r="39">
      <c r="A39" s="8" t="n"/>
      <c r="B39" s="8" t="n"/>
      <c r="C39" s="8" t="n"/>
      <c r="D39" s="8" t="n"/>
      <c r="E39" s="8" t="n"/>
      <c r="F39" s="10">
        <f>IFERROR(INDEX(Sprints!$C$2:$C$60,MATCH(C39,Sprints!$A$2:$A$60,0)),"")</f>
        <v/>
      </c>
    </row>
    <row r="40">
      <c r="A40" s="8" t="n"/>
      <c r="B40" s="8" t="n"/>
      <c r="C40" s="8" t="n"/>
      <c r="D40" s="8" t="n"/>
      <c r="E40" s="8" t="n"/>
      <c r="F40" s="10">
        <f>IFERROR(INDEX(Sprints!$C$2:$C$60,MATCH(C40,Sprints!$A$2:$A$60,0)),"")</f>
        <v/>
      </c>
    </row>
    <row r="41">
      <c r="A41" s="8" t="n"/>
      <c r="B41" s="8" t="n"/>
      <c r="C41" s="8" t="n"/>
      <c r="D41" s="8" t="n"/>
      <c r="E41" s="8" t="n"/>
      <c r="F41" s="10">
        <f>IFERROR(INDEX(Sprints!$C$2:$C$60,MATCH(C41,Sprints!$A$2:$A$60,0)),"")</f>
        <v/>
      </c>
    </row>
    <row r="42">
      <c r="A42" s="8" t="n"/>
      <c r="B42" s="8" t="n"/>
      <c r="C42" s="8" t="n"/>
      <c r="D42" s="8" t="n"/>
      <c r="E42" s="8" t="n"/>
      <c r="F42" s="10">
        <f>IFERROR(INDEX(Sprints!$C$2:$C$60,MATCH(C42,Sprints!$A$2:$A$60,0)),"")</f>
        <v/>
      </c>
    </row>
    <row r="43">
      <c r="A43" s="8" t="n"/>
      <c r="B43" s="8" t="n"/>
      <c r="C43" s="8" t="n"/>
      <c r="D43" s="8" t="n"/>
      <c r="E43" s="8" t="n"/>
      <c r="F43" s="10">
        <f>IFERROR(INDEX(Sprints!$C$2:$C$60,MATCH(C43,Sprints!$A$2:$A$60,0)),"")</f>
        <v/>
      </c>
    </row>
    <row r="44">
      <c r="A44" s="8" t="n"/>
      <c r="B44" s="8" t="n"/>
      <c r="C44" s="8" t="n"/>
      <c r="D44" s="8" t="n"/>
      <c r="E44" s="8" t="n"/>
      <c r="F44" s="10">
        <f>IFERROR(INDEX(Sprints!$C$2:$C$60,MATCH(C44,Sprints!$A$2:$A$60,0)),"")</f>
        <v/>
      </c>
    </row>
    <row r="45">
      <c r="A45" s="8" t="n"/>
      <c r="B45" s="8" t="n"/>
      <c r="C45" s="8" t="n"/>
      <c r="D45" s="8" t="n"/>
      <c r="E45" s="8" t="n"/>
      <c r="F45" s="10">
        <f>IFERROR(INDEX(Sprints!$C$2:$C$60,MATCH(C45,Sprints!$A$2:$A$60,0)),"")</f>
        <v/>
      </c>
    </row>
    <row r="46">
      <c r="A46" s="8" t="n"/>
      <c r="B46" s="8" t="n"/>
      <c r="C46" s="8" t="n"/>
      <c r="D46" s="8" t="n"/>
      <c r="E46" s="8" t="n"/>
      <c r="F46" s="10">
        <f>IFERROR(INDEX(Sprints!$C$2:$C$60,MATCH(C46,Sprints!$A$2:$A$60,0)),"")</f>
        <v/>
      </c>
    </row>
    <row r="47">
      <c r="A47" s="8" t="n"/>
      <c r="B47" s="8" t="n"/>
      <c r="C47" s="8" t="n"/>
      <c r="D47" s="8" t="n"/>
      <c r="E47" s="8" t="n"/>
      <c r="F47" s="10">
        <f>IFERROR(INDEX(Sprints!$C$2:$C$60,MATCH(C47,Sprints!$A$2:$A$60,0)),"")</f>
        <v/>
      </c>
    </row>
    <row r="48">
      <c r="A48" s="8" t="n"/>
      <c r="B48" s="8" t="n"/>
      <c r="C48" s="8" t="n"/>
      <c r="D48" s="8" t="n"/>
      <c r="E48" s="8" t="n"/>
      <c r="F48" s="10">
        <f>IFERROR(INDEX(Sprints!$C$2:$C$60,MATCH(C48,Sprints!$A$2:$A$60,0)),"")</f>
        <v/>
      </c>
    </row>
    <row r="49">
      <c r="A49" s="8" t="n"/>
      <c r="B49" s="8" t="n"/>
      <c r="C49" s="8" t="n"/>
      <c r="D49" s="8" t="n"/>
      <c r="E49" s="8" t="n"/>
      <c r="F49" s="10">
        <f>IFERROR(INDEX(Sprints!$C$2:$C$60,MATCH(C49,Sprints!$A$2:$A$60,0)),"")</f>
        <v/>
      </c>
    </row>
    <row r="50">
      <c r="A50" s="8" t="n"/>
      <c r="B50" s="8" t="n"/>
      <c r="C50" s="8" t="n"/>
      <c r="D50" s="8" t="n"/>
      <c r="E50" s="8" t="n"/>
      <c r="F50" s="10">
        <f>IFERROR(INDEX(Sprints!$C$2:$C$60,MATCH(C50,Sprints!$A$2:$A$60,0)),"")</f>
        <v/>
      </c>
    </row>
    <row r="51">
      <c r="A51" s="8" t="n"/>
      <c r="B51" s="8" t="n"/>
      <c r="C51" s="8" t="n"/>
      <c r="D51" s="8" t="n"/>
      <c r="E51" s="8" t="n"/>
      <c r="F51" s="10">
        <f>IFERROR(INDEX(Sprints!$C$2:$C$60,MATCH(C51,Sprints!$A$2:$A$60,0)),"")</f>
        <v/>
      </c>
    </row>
    <row r="52">
      <c r="A52" s="8" t="n"/>
      <c r="B52" s="8" t="n"/>
      <c r="C52" s="8" t="n"/>
      <c r="D52" s="8" t="n"/>
      <c r="E52" s="8" t="n"/>
      <c r="F52" s="10">
        <f>IFERROR(INDEX(Sprints!$C$2:$C$60,MATCH(C52,Sprints!$A$2:$A$60,0)),"")</f>
        <v/>
      </c>
    </row>
    <row r="53">
      <c r="A53" s="8" t="n"/>
      <c r="B53" s="8" t="n"/>
      <c r="C53" s="8" t="n"/>
      <c r="D53" s="8" t="n"/>
      <c r="E53" s="8" t="n"/>
      <c r="F53" s="10">
        <f>IFERROR(INDEX(Sprints!$C$2:$C$60,MATCH(C53,Sprints!$A$2:$A$60,0)),"")</f>
        <v/>
      </c>
    </row>
    <row r="54">
      <c r="A54" s="8" t="n"/>
      <c r="B54" s="8" t="n"/>
      <c r="C54" s="8" t="n"/>
      <c r="D54" s="8" t="n"/>
      <c r="E54" s="8" t="n"/>
      <c r="F54" s="10">
        <f>IFERROR(INDEX(Sprints!$C$2:$C$60,MATCH(C54,Sprints!$A$2:$A$60,0)),"")</f>
        <v/>
      </c>
    </row>
    <row r="55">
      <c r="A55" s="8" t="n"/>
      <c r="B55" s="8" t="n"/>
      <c r="C55" s="8" t="n"/>
      <c r="D55" s="8" t="n"/>
      <c r="E55" s="8" t="n"/>
      <c r="F55" s="10">
        <f>IFERROR(INDEX(Sprints!$C$2:$C$60,MATCH(C55,Sprints!$A$2:$A$60,0)),"")</f>
        <v/>
      </c>
    </row>
    <row r="56">
      <c r="A56" s="8" t="n"/>
      <c r="B56" s="8" t="n"/>
      <c r="C56" s="8" t="n"/>
      <c r="D56" s="8" t="n"/>
      <c r="E56" s="8" t="n"/>
      <c r="F56" s="10">
        <f>IFERROR(INDEX(Sprints!$C$2:$C$60,MATCH(C56,Sprints!$A$2:$A$60,0)),"")</f>
        <v/>
      </c>
    </row>
    <row r="57">
      <c r="A57" s="8" t="n"/>
      <c r="B57" s="8" t="n"/>
      <c r="C57" s="8" t="n"/>
      <c r="D57" s="8" t="n"/>
      <c r="E57" s="8" t="n"/>
      <c r="F57" s="10">
        <f>IFERROR(INDEX(Sprints!$C$2:$C$60,MATCH(C57,Sprints!$A$2:$A$60,0)),"")</f>
        <v/>
      </c>
    </row>
    <row r="58">
      <c r="A58" s="8" t="n"/>
      <c r="B58" s="8" t="n"/>
      <c r="C58" s="8" t="n"/>
      <c r="D58" s="8" t="n"/>
      <c r="E58" s="8" t="n"/>
      <c r="F58" s="10">
        <f>IFERROR(INDEX(Sprints!$C$2:$C$60,MATCH(C58,Sprints!$A$2:$A$60,0)),"")</f>
        <v/>
      </c>
    </row>
    <row r="59">
      <c r="A59" s="8" t="n"/>
      <c r="B59" s="8" t="n"/>
      <c r="C59" s="8" t="n"/>
      <c r="D59" s="8" t="n"/>
      <c r="E59" s="8" t="n"/>
      <c r="F59" s="10">
        <f>IFERROR(INDEX(Sprints!$C$2:$C$60,MATCH(C59,Sprints!$A$2:$A$60,0)),"")</f>
        <v/>
      </c>
    </row>
    <row r="60">
      <c r="A60" s="8" t="n"/>
      <c r="B60" s="8" t="n"/>
      <c r="C60" s="8" t="n"/>
      <c r="D60" s="8" t="n"/>
      <c r="E60" s="8" t="n"/>
      <c r="F60" s="10">
        <f>IFERROR(INDEX(Sprints!$C$2:$C$60,MATCH(C60,Sprints!$A$2:$A$60,0)),"")</f>
        <v/>
      </c>
    </row>
    <row r="61">
      <c r="A61" s="8" t="n"/>
      <c r="B61" s="8" t="n"/>
      <c r="C61" s="8" t="n"/>
      <c r="D61" s="8" t="n"/>
      <c r="E61" s="8" t="n"/>
      <c r="F61" s="10">
        <f>IFERROR(INDEX(Sprints!$C$2:$C$60,MATCH(C61,Sprints!$A$2:$A$60,0)),"")</f>
        <v/>
      </c>
    </row>
    <row r="62">
      <c r="A62" s="8" t="n"/>
      <c r="B62" s="8" t="n"/>
      <c r="C62" s="8" t="n"/>
      <c r="D62" s="8" t="n"/>
      <c r="E62" s="8" t="n"/>
      <c r="F62" s="10">
        <f>IFERROR(INDEX(Sprints!$C$2:$C$60,MATCH(C62,Sprints!$A$2:$A$60,0)),"")</f>
        <v/>
      </c>
    </row>
    <row r="63">
      <c r="A63" s="8" t="n"/>
      <c r="B63" s="8" t="n"/>
      <c r="C63" s="8" t="n"/>
      <c r="D63" s="8" t="n"/>
      <c r="E63" s="8" t="n"/>
      <c r="F63" s="10">
        <f>IFERROR(INDEX(Sprints!$C$2:$C$60,MATCH(C63,Sprints!$A$2:$A$60,0)),"")</f>
        <v/>
      </c>
    </row>
    <row r="64">
      <c r="A64" s="8" t="n"/>
      <c r="B64" s="8" t="n"/>
      <c r="C64" s="8" t="n"/>
      <c r="D64" s="8" t="n"/>
      <c r="E64" s="8" t="n"/>
      <c r="F64" s="10">
        <f>IFERROR(INDEX(Sprints!$C$2:$C$60,MATCH(C64,Sprints!$A$2:$A$60,0)),"")</f>
        <v/>
      </c>
    </row>
    <row r="65">
      <c r="A65" s="8" t="n"/>
      <c r="B65" s="8" t="n"/>
      <c r="C65" s="8" t="n"/>
      <c r="D65" s="8" t="n"/>
      <c r="E65" s="8" t="n"/>
      <c r="F65" s="10">
        <f>IFERROR(INDEX(Sprints!$C$2:$C$60,MATCH(C65,Sprints!$A$2:$A$60,0)),"")</f>
        <v/>
      </c>
    </row>
    <row r="66">
      <c r="A66" s="8" t="n"/>
      <c r="B66" s="8" t="n"/>
      <c r="C66" s="8" t="n"/>
      <c r="D66" s="8" t="n"/>
      <c r="E66" s="8" t="n"/>
      <c r="F66" s="10">
        <f>IFERROR(INDEX(Sprints!$C$2:$C$60,MATCH(C66,Sprints!$A$2:$A$60,0)),"")</f>
        <v/>
      </c>
    </row>
    <row r="67">
      <c r="A67" s="8" t="n"/>
      <c r="B67" s="8" t="n"/>
      <c r="C67" s="8" t="n"/>
      <c r="D67" s="8" t="n"/>
      <c r="E67" s="8" t="n"/>
      <c r="F67" s="10">
        <f>IFERROR(INDEX(Sprints!$C$2:$C$60,MATCH(C67,Sprints!$A$2:$A$60,0)),"")</f>
        <v/>
      </c>
    </row>
    <row r="68">
      <c r="A68" s="8" t="n"/>
      <c r="B68" s="8" t="n"/>
      <c r="C68" s="8" t="n"/>
      <c r="D68" s="8" t="n"/>
      <c r="E68" s="8" t="n"/>
      <c r="F68" s="10">
        <f>IFERROR(INDEX(Sprints!$C$2:$C$60,MATCH(C68,Sprints!$A$2:$A$60,0)),"")</f>
        <v/>
      </c>
    </row>
    <row r="69">
      <c r="A69" s="8" t="n"/>
      <c r="B69" s="8" t="n"/>
      <c r="C69" s="8" t="n"/>
      <c r="D69" s="8" t="n"/>
      <c r="E69" s="8" t="n"/>
      <c r="F69" s="10">
        <f>IFERROR(INDEX(Sprints!$C$2:$C$60,MATCH(C69,Sprints!$A$2:$A$60,0)),"")</f>
        <v/>
      </c>
    </row>
    <row r="70">
      <c r="A70" s="8" t="n"/>
      <c r="B70" s="8" t="n"/>
      <c r="C70" s="8" t="n"/>
      <c r="D70" s="8" t="n"/>
      <c r="E70" s="8" t="n"/>
      <c r="F70" s="10">
        <f>IFERROR(INDEX(Sprints!$C$2:$C$60,MATCH(C70,Sprints!$A$2:$A$60,0)),"")</f>
        <v/>
      </c>
    </row>
    <row r="71">
      <c r="A71" s="8" t="n"/>
      <c r="B71" s="8" t="n"/>
      <c r="C71" s="8" t="n"/>
      <c r="D71" s="8" t="n"/>
      <c r="E71" s="8" t="n"/>
      <c r="F71" s="10">
        <f>IFERROR(INDEX(Sprints!$C$2:$C$60,MATCH(C71,Sprints!$A$2:$A$60,0)),"")</f>
        <v/>
      </c>
    </row>
    <row r="72">
      <c r="A72" s="8" t="n"/>
      <c r="B72" s="8" t="n"/>
      <c r="C72" s="8" t="n"/>
      <c r="D72" s="8" t="n"/>
      <c r="E72" s="8" t="n"/>
      <c r="F72" s="10">
        <f>IFERROR(INDEX(Sprints!$C$2:$C$60,MATCH(C72,Sprints!$A$2:$A$60,0)),"")</f>
        <v/>
      </c>
    </row>
    <row r="73">
      <c r="A73" s="8" t="n"/>
      <c r="B73" s="8" t="n"/>
      <c r="C73" s="8" t="n"/>
      <c r="D73" s="8" t="n"/>
      <c r="E73" s="8" t="n"/>
      <c r="F73" s="10">
        <f>IFERROR(INDEX(Sprints!$C$2:$C$60,MATCH(C73,Sprints!$A$2:$A$60,0)),"")</f>
        <v/>
      </c>
    </row>
    <row r="74">
      <c r="A74" s="8" t="n"/>
      <c r="B74" s="8" t="n"/>
      <c r="C74" s="8" t="n"/>
      <c r="D74" s="8" t="n"/>
      <c r="E74" s="8" t="n"/>
      <c r="F74" s="10">
        <f>IFERROR(INDEX(Sprints!$C$2:$C$60,MATCH(C74,Sprints!$A$2:$A$60,0)),"")</f>
        <v/>
      </c>
    </row>
    <row r="75">
      <c r="A75" s="8" t="n"/>
      <c r="B75" s="8" t="n"/>
      <c r="C75" s="8" t="n"/>
      <c r="D75" s="8" t="n"/>
      <c r="E75" s="8" t="n"/>
      <c r="F75" s="10">
        <f>IFERROR(INDEX(Sprints!$C$2:$C$60,MATCH(C75,Sprints!$A$2:$A$60,0)),"")</f>
        <v/>
      </c>
    </row>
    <row r="76">
      <c r="A76" s="8" t="n"/>
      <c r="B76" s="8" t="n"/>
      <c r="C76" s="8" t="n"/>
      <c r="D76" s="8" t="n"/>
      <c r="E76" s="8" t="n"/>
      <c r="F76" s="10">
        <f>IFERROR(INDEX(Sprints!$C$2:$C$60,MATCH(C76,Sprints!$A$2:$A$60,0)),"")</f>
        <v/>
      </c>
    </row>
    <row r="77">
      <c r="A77" s="8" t="n"/>
      <c r="B77" s="8" t="n"/>
      <c r="C77" s="8" t="n"/>
      <c r="D77" s="8" t="n"/>
      <c r="E77" s="8" t="n"/>
      <c r="F77" s="10">
        <f>IFERROR(INDEX(Sprints!$C$2:$C$60,MATCH(C77,Sprints!$A$2:$A$60,0)),"")</f>
        <v/>
      </c>
    </row>
    <row r="78">
      <c r="A78" s="8" t="n"/>
      <c r="B78" s="8" t="n"/>
      <c r="C78" s="8" t="n"/>
      <c r="D78" s="8" t="n"/>
      <c r="E78" s="8" t="n"/>
      <c r="F78" s="10">
        <f>IFERROR(INDEX(Sprints!$C$2:$C$60,MATCH(C78,Sprints!$A$2:$A$60,0)),"")</f>
        <v/>
      </c>
    </row>
    <row r="79">
      <c r="A79" s="8" t="n"/>
      <c r="B79" s="8" t="n"/>
      <c r="C79" s="8" t="n"/>
      <c r="D79" s="8" t="n"/>
      <c r="E79" s="8" t="n"/>
      <c r="F79" s="10">
        <f>IFERROR(INDEX(Sprints!$C$2:$C$60,MATCH(C79,Sprints!$A$2:$A$60,0)),"")</f>
        <v/>
      </c>
    </row>
    <row r="80">
      <c r="A80" s="8" t="n"/>
      <c r="B80" s="8" t="n"/>
      <c r="C80" s="8" t="n"/>
      <c r="D80" s="8" t="n"/>
      <c r="E80" s="8" t="n"/>
      <c r="F80" s="10">
        <f>IFERROR(INDEX(Sprints!$C$2:$C$60,MATCH(C80,Sprints!$A$2:$A$60,0)),"")</f>
        <v/>
      </c>
    </row>
    <row r="81">
      <c r="A81" s="8" t="n"/>
      <c r="B81" s="8" t="n"/>
      <c r="C81" s="8" t="n"/>
      <c r="D81" s="8" t="n"/>
      <c r="E81" s="8" t="n"/>
      <c r="F81" s="10">
        <f>IFERROR(INDEX(Sprints!$C$2:$C$60,MATCH(C81,Sprints!$A$2:$A$60,0)),"")</f>
        <v/>
      </c>
    </row>
  </sheetData>
  <dataValidations count="4">
    <dataValidation sqref="A2:A81" showDropDown="0" showInputMessage="0" showErrorMessage="0" allowBlank="1" type="list">
      <formula1>"Programme,Process group"</formula1>
    </dataValidation>
    <dataValidation sqref="D2:D81" showDropDown="0" showInputMessage="0" showErrorMessage="0" allowBlank="1" type="list">
      <formula1>=Lists!$C$2:$C$11</formula1>
    </dataValidation>
    <dataValidation sqref="C2:C81" showDropDown="0" showInputMessage="0" showErrorMessage="0" allowBlank="1" type="list">
      <formula1>=Sprints!$A$2:$A$60</formula1>
    </dataValidation>
    <dataValidation sqref="B2:B81" showDropDown="0" showInputMessage="0" showErrorMessage="0" allowBlank="1" type="list">
      <formula1>=ProcessGroups!$A$2:$A$80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2" customWidth="1" min="4" max="4"/>
    <col width="14" customWidth="1" min="5" max="5"/>
    <col width="18" customWidth="1" min="6" max="6"/>
  </cols>
  <sheetData>
    <row r="1" ht="26" customHeight="1">
      <c r="A1" s="6" t="inlineStr">
        <is>
          <t>Process group</t>
        </is>
      </c>
      <c r="B1" s="6" t="inlineStr">
        <is>
          <t>PO activities</t>
        </is>
      </c>
      <c r="C1" s="6" t="inlineStr">
        <is>
          <t>UX activities</t>
        </is>
      </c>
      <c r="D1" s="6" t="inlineStr">
        <is>
          <t>Total</t>
        </is>
      </c>
      <c r="E1" s="6" t="inlineStr">
        <is>
          <t>Milestones</t>
        </is>
      </c>
      <c r="F1" s="6" t="inlineStr">
        <is>
          <t>Horizons used</t>
        </is>
      </c>
    </row>
    <row r="2">
      <c r="A2" s="10">
        <f>IFERROR(INDEX(ProcessGroups!$B$2:$B$80,2-1),"")</f>
        <v/>
      </c>
      <c r="B2" s="10">
        <f>IF($A2="","",COUNTIFS(Activities!$A$2:$A$161,INDEX(ProcessGroups!$A$2:$A$80,2-1),Activities!$C$2:$C$161,"Product owner"))</f>
        <v/>
      </c>
      <c r="C2" s="10">
        <f>IF($A2="","",COUNTIFS(Activities!$A$2:$A$161,INDEX(ProcessGroups!$A$2:$A$80,2-1),Activities!$C$2:$C$161,"UX"))</f>
        <v/>
      </c>
      <c r="D2" s="10">
        <f>IF($A2="","",B2+C2)</f>
        <v/>
      </c>
      <c r="E2" s="10">
        <f>IF($A2="","",COUNTIF(Milestones!$B$2:$B$81,INDEX(ProcessGroups!$A$2:$A$80,2-1)))</f>
        <v/>
      </c>
      <c r="F2" s="10">
        <f>IF($A2="","",SUMPRODUCT((COUNTIFS(Activities!$A$2:$A$161,INDEX(ProcessGroups!$A$2:$A$80,2-1),Activities!$B$2:$B$161,Lists!$A$2:$A$5)&gt;0)*1))</f>
        <v/>
      </c>
    </row>
    <row r="3">
      <c r="A3" s="10">
        <f>IFERROR(INDEX(ProcessGroups!$B$2:$B$80,3-1),"")</f>
        <v/>
      </c>
      <c r="B3" s="10">
        <f>IF($A3="","",COUNTIFS(Activities!$A$2:$A$161,INDEX(ProcessGroups!$A$2:$A$80,3-1),Activities!$C$2:$C$161,"Product owner"))</f>
        <v/>
      </c>
      <c r="C3" s="10">
        <f>IF($A3="","",COUNTIFS(Activities!$A$2:$A$161,INDEX(ProcessGroups!$A$2:$A$80,3-1),Activities!$C$2:$C$161,"UX"))</f>
        <v/>
      </c>
      <c r="D3" s="10">
        <f>IF($A3="","",B3+C3)</f>
        <v/>
      </c>
      <c r="E3" s="10">
        <f>IF($A3="","",COUNTIF(Milestones!$B$2:$B$81,INDEX(ProcessGroups!$A$2:$A$80,3-1)))</f>
        <v/>
      </c>
      <c r="F3" s="10">
        <f>IF($A3="","",SUMPRODUCT((COUNTIFS(Activities!$A$2:$A$161,INDEX(ProcessGroups!$A$2:$A$80,3-1),Activities!$B$2:$B$161,Lists!$A$2:$A$5)&gt;0)*1))</f>
        <v/>
      </c>
    </row>
    <row r="4">
      <c r="A4" s="10">
        <f>IFERROR(INDEX(ProcessGroups!$B$2:$B$80,4-1),"")</f>
        <v/>
      </c>
      <c r="B4" s="10">
        <f>IF($A4="","",COUNTIFS(Activities!$A$2:$A$161,INDEX(ProcessGroups!$A$2:$A$80,4-1),Activities!$C$2:$C$161,"Product owner"))</f>
        <v/>
      </c>
      <c r="C4" s="10">
        <f>IF($A4="","",COUNTIFS(Activities!$A$2:$A$161,INDEX(ProcessGroups!$A$2:$A$80,4-1),Activities!$C$2:$C$161,"UX"))</f>
        <v/>
      </c>
      <c r="D4" s="10">
        <f>IF($A4="","",B4+C4)</f>
        <v/>
      </c>
      <c r="E4" s="10">
        <f>IF($A4="","",COUNTIF(Milestones!$B$2:$B$81,INDEX(ProcessGroups!$A$2:$A$80,4-1)))</f>
        <v/>
      </c>
      <c r="F4" s="10">
        <f>IF($A4="","",SUMPRODUCT((COUNTIFS(Activities!$A$2:$A$161,INDEX(ProcessGroups!$A$2:$A$80,4-1),Activities!$B$2:$B$161,Lists!$A$2:$A$5)&gt;0)*1))</f>
        <v/>
      </c>
    </row>
    <row r="5">
      <c r="A5" s="10">
        <f>IFERROR(INDEX(ProcessGroups!$B$2:$B$80,5-1),"")</f>
        <v/>
      </c>
      <c r="B5" s="10">
        <f>IF($A5="","",COUNTIFS(Activities!$A$2:$A$161,INDEX(ProcessGroups!$A$2:$A$80,5-1),Activities!$C$2:$C$161,"Product owner"))</f>
        <v/>
      </c>
      <c r="C5" s="10">
        <f>IF($A5="","",COUNTIFS(Activities!$A$2:$A$161,INDEX(ProcessGroups!$A$2:$A$80,5-1),Activities!$C$2:$C$161,"UX"))</f>
        <v/>
      </c>
      <c r="D5" s="10">
        <f>IF($A5="","",B5+C5)</f>
        <v/>
      </c>
      <c r="E5" s="10">
        <f>IF($A5="","",COUNTIF(Milestones!$B$2:$B$81,INDEX(ProcessGroups!$A$2:$A$80,5-1)))</f>
        <v/>
      </c>
      <c r="F5" s="10">
        <f>IF($A5="","",SUMPRODUCT((COUNTIFS(Activities!$A$2:$A$161,INDEX(ProcessGroups!$A$2:$A$80,5-1),Activities!$B$2:$B$161,Lists!$A$2:$A$5)&gt;0)*1))</f>
        <v/>
      </c>
    </row>
    <row r="6">
      <c r="A6" s="10">
        <f>IFERROR(INDEX(ProcessGroups!$B$2:$B$80,6-1),"")</f>
        <v/>
      </c>
      <c r="B6" s="10">
        <f>IF($A6="","",COUNTIFS(Activities!$A$2:$A$161,INDEX(ProcessGroups!$A$2:$A$80,6-1),Activities!$C$2:$C$161,"Product owner"))</f>
        <v/>
      </c>
      <c r="C6" s="10">
        <f>IF($A6="","",COUNTIFS(Activities!$A$2:$A$161,INDEX(ProcessGroups!$A$2:$A$80,6-1),Activities!$C$2:$C$161,"UX"))</f>
        <v/>
      </c>
      <c r="D6" s="10">
        <f>IF($A6="","",B6+C6)</f>
        <v/>
      </c>
      <c r="E6" s="10">
        <f>IF($A6="","",COUNTIF(Milestones!$B$2:$B$81,INDEX(ProcessGroups!$A$2:$A$80,6-1)))</f>
        <v/>
      </c>
      <c r="F6" s="10">
        <f>IF($A6="","",SUMPRODUCT((COUNTIFS(Activities!$A$2:$A$161,INDEX(ProcessGroups!$A$2:$A$80,6-1),Activities!$B$2:$B$161,Lists!$A$2:$A$5)&gt;0)*1))</f>
        <v/>
      </c>
    </row>
    <row r="7">
      <c r="A7" s="10">
        <f>IFERROR(INDEX(ProcessGroups!$B$2:$B$80,7-1),"")</f>
        <v/>
      </c>
      <c r="B7" s="10">
        <f>IF($A7="","",COUNTIFS(Activities!$A$2:$A$161,INDEX(ProcessGroups!$A$2:$A$80,7-1),Activities!$C$2:$C$161,"Product owner"))</f>
        <v/>
      </c>
      <c r="C7" s="10">
        <f>IF($A7="","",COUNTIFS(Activities!$A$2:$A$161,INDEX(ProcessGroups!$A$2:$A$80,7-1),Activities!$C$2:$C$161,"UX"))</f>
        <v/>
      </c>
      <c r="D7" s="10">
        <f>IF($A7="","",B7+C7)</f>
        <v/>
      </c>
      <c r="E7" s="10">
        <f>IF($A7="","",COUNTIF(Milestones!$B$2:$B$81,INDEX(ProcessGroups!$A$2:$A$80,7-1)))</f>
        <v/>
      </c>
      <c r="F7" s="10">
        <f>IF($A7="","",SUMPRODUCT((COUNTIFS(Activities!$A$2:$A$161,INDEX(ProcessGroups!$A$2:$A$80,7-1),Activities!$B$2:$B$161,Lists!$A$2:$A$5)&gt;0)*1))</f>
        <v/>
      </c>
    </row>
    <row r="8">
      <c r="A8" s="10">
        <f>IFERROR(INDEX(ProcessGroups!$B$2:$B$80,8-1),"")</f>
        <v/>
      </c>
      <c r="B8" s="10">
        <f>IF($A8="","",COUNTIFS(Activities!$A$2:$A$161,INDEX(ProcessGroups!$A$2:$A$80,8-1),Activities!$C$2:$C$161,"Product owner"))</f>
        <v/>
      </c>
      <c r="C8" s="10">
        <f>IF($A8="","",COUNTIFS(Activities!$A$2:$A$161,INDEX(ProcessGroups!$A$2:$A$80,8-1),Activities!$C$2:$C$161,"UX"))</f>
        <v/>
      </c>
      <c r="D8" s="10">
        <f>IF($A8="","",B8+C8)</f>
        <v/>
      </c>
      <c r="E8" s="10">
        <f>IF($A8="","",COUNTIF(Milestones!$B$2:$B$81,INDEX(ProcessGroups!$A$2:$A$80,8-1)))</f>
        <v/>
      </c>
      <c r="F8" s="10">
        <f>IF($A8="","",SUMPRODUCT((COUNTIFS(Activities!$A$2:$A$161,INDEX(ProcessGroups!$A$2:$A$80,8-1),Activities!$B$2:$B$161,Lists!$A$2:$A$5)&gt;0)*1))</f>
        <v/>
      </c>
    </row>
    <row r="9">
      <c r="A9" s="10">
        <f>IFERROR(INDEX(ProcessGroups!$B$2:$B$80,9-1),"")</f>
        <v/>
      </c>
      <c r="B9" s="10">
        <f>IF($A9="","",COUNTIFS(Activities!$A$2:$A$161,INDEX(ProcessGroups!$A$2:$A$80,9-1),Activities!$C$2:$C$161,"Product owner"))</f>
        <v/>
      </c>
      <c r="C9" s="10">
        <f>IF($A9="","",COUNTIFS(Activities!$A$2:$A$161,INDEX(ProcessGroups!$A$2:$A$80,9-1),Activities!$C$2:$C$161,"UX"))</f>
        <v/>
      </c>
      <c r="D9" s="10">
        <f>IF($A9="","",B9+C9)</f>
        <v/>
      </c>
      <c r="E9" s="10">
        <f>IF($A9="","",COUNTIF(Milestones!$B$2:$B$81,INDEX(ProcessGroups!$A$2:$A$80,9-1)))</f>
        <v/>
      </c>
      <c r="F9" s="10">
        <f>IF($A9="","",SUMPRODUCT((COUNTIFS(Activities!$A$2:$A$161,INDEX(ProcessGroups!$A$2:$A$80,9-1),Activities!$B$2:$B$161,Lists!$A$2:$A$5)&gt;0)*1))</f>
        <v/>
      </c>
    </row>
    <row r="10">
      <c r="A10" s="10">
        <f>IFERROR(INDEX(ProcessGroups!$B$2:$B$80,10-1),"")</f>
        <v/>
      </c>
      <c r="B10" s="10">
        <f>IF($A10="","",COUNTIFS(Activities!$A$2:$A$161,INDEX(ProcessGroups!$A$2:$A$80,10-1),Activities!$C$2:$C$161,"Product owner"))</f>
        <v/>
      </c>
      <c r="C10" s="10">
        <f>IF($A10="","",COUNTIFS(Activities!$A$2:$A$161,INDEX(ProcessGroups!$A$2:$A$80,10-1),Activities!$C$2:$C$161,"UX"))</f>
        <v/>
      </c>
      <c r="D10" s="10">
        <f>IF($A10="","",B10+C10)</f>
        <v/>
      </c>
      <c r="E10" s="10">
        <f>IF($A10="","",COUNTIF(Milestones!$B$2:$B$81,INDEX(ProcessGroups!$A$2:$A$80,10-1)))</f>
        <v/>
      </c>
      <c r="F10" s="10">
        <f>IF($A10="","",SUMPRODUCT((COUNTIFS(Activities!$A$2:$A$161,INDEX(ProcessGroups!$A$2:$A$80,10-1),Activities!$B$2:$B$161,Lists!$A$2:$A$5)&gt;0)*1))</f>
        <v/>
      </c>
    </row>
    <row r="11">
      <c r="A11" s="10">
        <f>IFERROR(INDEX(ProcessGroups!$B$2:$B$80,11-1),"")</f>
        <v/>
      </c>
      <c r="B11" s="10">
        <f>IF($A11="","",COUNTIFS(Activities!$A$2:$A$161,INDEX(ProcessGroups!$A$2:$A$80,11-1),Activities!$C$2:$C$161,"Product owner"))</f>
        <v/>
      </c>
      <c r="C11" s="10">
        <f>IF($A11="","",COUNTIFS(Activities!$A$2:$A$161,INDEX(ProcessGroups!$A$2:$A$80,11-1),Activities!$C$2:$C$161,"UX"))</f>
        <v/>
      </c>
      <c r="D11" s="10">
        <f>IF($A11="","",B11+C11)</f>
        <v/>
      </c>
      <c r="E11" s="10">
        <f>IF($A11="","",COUNTIF(Milestones!$B$2:$B$81,INDEX(ProcessGroups!$A$2:$A$80,11-1)))</f>
        <v/>
      </c>
      <c r="F11" s="10">
        <f>IF($A11="","",SUMPRODUCT((COUNTIFS(Activities!$A$2:$A$161,INDEX(ProcessGroups!$A$2:$A$80,11-1),Activities!$B$2:$B$161,Lists!$A$2:$A$5)&gt;0)*1))</f>
        <v/>
      </c>
    </row>
    <row r="12">
      <c r="A12" s="10">
        <f>IFERROR(INDEX(ProcessGroups!$B$2:$B$80,12-1),"")</f>
        <v/>
      </c>
      <c r="B12" s="10">
        <f>IF($A12="","",COUNTIFS(Activities!$A$2:$A$161,INDEX(ProcessGroups!$A$2:$A$80,12-1),Activities!$C$2:$C$161,"Product owner"))</f>
        <v/>
      </c>
      <c r="C12" s="10">
        <f>IF($A12="","",COUNTIFS(Activities!$A$2:$A$161,INDEX(ProcessGroups!$A$2:$A$80,12-1),Activities!$C$2:$C$161,"UX"))</f>
        <v/>
      </c>
      <c r="D12" s="10">
        <f>IF($A12="","",B12+C12)</f>
        <v/>
      </c>
      <c r="E12" s="10">
        <f>IF($A12="","",COUNTIF(Milestones!$B$2:$B$81,INDEX(ProcessGroups!$A$2:$A$80,12-1)))</f>
        <v/>
      </c>
      <c r="F12" s="10">
        <f>IF($A12="","",SUMPRODUCT((COUNTIFS(Activities!$A$2:$A$161,INDEX(ProcessGroups!$A$2:$A$80,12-1),Activities!$B$2:$B$161,Lists!$A$2:$A$5)&gt;0)*1))</f>
        <v/>
      </c>
    </row>
    <row r="13">
      <c r="A13" s="10">
        <f>IFERROR(INDEX(ProcessGroups!$B$2:$B$80,13-1),"")</f>
        <v/>
      </c>
      <c r="B13" s="10">
        <f>IF($A13="","",COUNTIFS(Activities!$A$2:$A$161,INDEX(ProcessGroups!$A$2:$A$80,13-1),Activities!$C$2:$C$161,"Product owner"))</f>
        <v/>
      </c>
      <c r="C13" s="10">
        <f>IF($A13="","",COUNTIFS(Activities!$A$2:$A$161,INDEX(ProcessGroups!$A$2:$A$80,13-1),Activities!$C$2:$C$161,"UX"))</f>
        <v/>
      </c>
      <c r="D13" s="10">
        <f>IF($A13="","",B13+C13)</f>
        <v/>
      </c>
      <c r="E13" s="10">
        <f>IF($A13="","",COUNTIF(Milestones!$B$2:$B$81,INDEX(ProcessGroups!$A$2:$A$80,13-1)))</f>
        <v/>
      </c>
      <c r="F13" s="10">
        <f>IF($A13="","",SUMPRODUCT((COUNTIFS(Activities!$A$2:$A$161,INDEX(ProcessGroups!$A$2:$A$80,13-1),Activities!$B$2:$B$161,Lists!$A$2:$A$5)&gt;0)*1))</f>
        <v/>
      </c>
    </row>
    <row r="14">
      <c r="A14" s="10">
        <f>IFERROR(INDEX(ProcessGroups!$B$2:$B$80,14-1),"")</f>
        <v/>
      </c>
      <c r="B14" s="10">
        <f>IF($A14="","",COUNTIFS(Activities!$A$2:$A$161,INDEX(ProcessGroups!$A$2:$A$80,14-1),Activities!$C$2:$C$161,"Product owner"))</f>
        <v/>
      </c>
      <c r="C14" s="10">
        <f>IF($A14="","",COUNTIFS(Activities!$A$2:$A$161,INDEX(ProcessGroups!$A$2:$A$80,14-1),Activities!$C$2:$C$161,"UX"))</f>
        <v/>
      </c>
      <c r="D14" s="10">
        <f>IF($A14="","",B14+C14)</f>
        <v/>
      </c>
      <c r="E14" s="10">
        <f>IF($A14="","",COUNTIF(Milestones!$B$2:$B$81,INDEX(ProcessGroups!$A$2:$A$80,14-1)))</f>
        <v/>
      </c>
      <c r="F14" s="10">
        <f>IF($A14="","",SUMPRODUCT((COUNTIFS(Activities!$A$2:$A$161,INDEX(ProcessGroups!$A$2:$A$80,14-1),Activities!$B$2:$B$161,Lists!$A$2:$A$5)&gt;0)*1))</f>
        <v/>
      </c>
    </row>
    <row r="15">
      <c r="A15" s="10">
        <f>IFERROR(INDEX(ProcessGroups!$B$2:$B$80,15-1),"")</f>
        <v/>
      </c>
      <c r="B15" s="10">
        <f>IF($A15="","",COUNTIFS(Activities!$A$2:$A$161,INDEX(ProcessGroups!$A$2:$A$80,15-1),Activities!$C$2:$C$161,"Product owner"))</f>
        <v/>
      </c>
      <c r="C15" s="10">
        <f>IF($A15="","",COUNTIFS(Activities!$A$2:$A$161,INDEX(ProcessGroups!$A$2:$A$80,15-1),Activities!$C$2:$C$161,"UX"))</f>
        <v/>
      </c>
      <c r="D15" s="10">
        <f>IF($A15="","",B15+C15)</f>
        <v/>
      </c>
      <c r="E15" s="10">
        <f>IF($A15="","",COUNTIF(Milestones!$B$2:$B$81,INDEX(ProcessGroups!$A$2:$A$80,15-1)))</f>
        <v/>
      </c>
      <c r="F15" s="10">
        <f>IF($A15="","",SUMPRODUCT((COUNTIFS(Activities!$A$2:$A$161,INDEX(ProcessGroups!$A$2:$A$80,15-1),Activities!$B$2:$B$161,Lists!$A$2:$A$5)&gt;0)*1))</f>
        <v/>
      </c>
    </row>
    <row r="16">
      <c r="A16" s="10">
        <f>IFERROR(INDEX(ProcessGroups!$B$2:$B$80,16-1),"")</f>
        <v/>
      </c>
      <c r="B16" s="10">
        <f>IF($A16="","",COUNTIFS(Activities!$A$2:$A$161,INDEX(ProcessGroups!$A$2:$A$80,16-1),Activities!$C$2:$C$161,"Product owner"))</f>
        <v/>
      </c>
      <c r="C16" s="10">
        <f>IF($A16="","",COUNTIFS(Activities!$A$2:$A$161,INDEX(ProcessGroups!$A$2:$A$80,16-1),Activities!$C$2:$C$161,"UX"))</f>
        <v/>
      </c>
      <c r="D16" s="10">
        <f>IF($A16="","",B16+C16)</f>
        <v/>
      </c>
      <c r="E16" s="10">
        <f>IF($A16="","",COUNTIF(Milestones!$B$2:$B$81,INDEX(ProcessGroups!$A$2:$A$80,16-1)))</f>
        <v/>
      </c>
      <c r="F16" s="10">
        <f>IF($A16="","",SUMPRODUCT((COUNTIFS(Activities!$A$2:$A$161,INDEX(ProcessGroups!$A$2:$A$80,16-1),Activities!$B$2:$B$161,Lists!$A$2:$A$5)&gt;0)*1))</f>
        <v/>
      </c>
    </row>
    <row r="17">
      <c r="A17" s="10">
        <f>IFERROR(INDEX(ProcessGroups!$B$2:$B$80,17-1),"")</f>
        <v/>
      </c>
      <c r="B17" s="10">
        <f>IF($A17="","",COUNTIFS(Activities!$A$2:$A$161,INDEX(ProcessGroups!$A$2:$A$80,17-1),Activities!$C$2:$C$161,"Product owner"))</f>
        <v/>
      </c>
      <c r="C17" s="10">
        <f>IF($A17="","",COUNTIFS(Activities!$A$2:$A$161,INDEX(ProcessGroups!$A$2:$A$80,17-1),Activities!$C$2:$C$161,"UX"))</f>
        <v/>
      </c>
      <c r="D17" s="10">
        <f>IF($A17="","",B17+C17)</f>
        <v/>
      </c>
      <c r="E17" s="10">
        <f>IF($A17="","",COUNTIF(Milestones!$B$2:$B$81,INDEX(ProcessGroups!$A$2:$A$80,17-1)))</f>
        <v/>
      </c>
      <c r="F17" s="10">
        <f>IF($A17="","",SUMPRODUCT((COUNTIFS(Activities!$A$2:$A$161,INDEX(ProcessGroups!$A$2:$A$80,17-1),Activities!$B$2:$B$161,Lists!$A$2:$A$5)&gt;0)*1))</f>
        <v/>
      </c>
    </row>
    <row r="18">
      <c r="A18" s="10">
        <f>IFERROR(INDEX(ProcessGroups!$B$2:$B$80,18-1),"")</f>
        <v/>
      </c>
      <c r="B18" s="10">
        <f>IF($A18="","",COUNTIFS(Activities!$A$2:$A$161,INDEX(ProcessGroups!$A$2:$A$80,18-1),Activities!$C$2:$C$161,"Product owner"))</f>
        <v/>
      </c>
      <c r="C18" s="10">
        <f>IF($A18="","",COUNTIFS(Activities!$A$2:$A$161,INDEX(ProcessGroups!$A$2:$A$80,18-1),Activities!$C$2:$C$161,"UX"))</f>
        <v/>
      </c>
      <c r="D18" s="10">
        <f>IF($A18="","",B18+C18)</f>
        <v/>
      </c>
      <c r="E18" s="10">
        <f>IF($A18="","",COUNTIF(Milestones!$B$2:$B$81,INDEX(ProcessGroups!$A$2:$A$80,18-1)))</f>
        <v/>
      </c>
      <c r="F18" s="10">
        <f>IF($A18="","",SUMPRODUCT((COUNTIFS(Activities!$A$2:$A$161,INDEX(ProcessGroups!$A$2:$A$80,18-1),Activities!$B$2:$B$161,Lists!$A$2:$A$5)&gt;0)*1))</f>
        <v/>
      </c>
    </row>
    <row r="19">
      <c r="A19" s="10">
        <f>IFERROR(INDEX(ProcessGroups!$B$2:$B$80,19-1),"")</f>
        <v/>
      </c>
      <c r="B19" s="10">
        <f>IF($A19="","",COUNTIFS(Activities!$A$2:$A$161,INDEX(ProcessGroups!$A$2:$A$80,19-1),Activities!$C$2:$C$161,"Product owner"))</f>
        <v/>
      </c>
      <c r="C19" s="10">
        <f>IF($A19="","",COUNTIFS(Activities!$A$2:$A$161,INDEX(ProcessGroups!$A$2:$A$80,19-1),Activities!$C$2:$C$161,"UX"))</f>
        <v/>
      </c>
      <c r="D19" s="10">
        <f>IF($A19="","",B19+C19)</f>
        <v/>
      </c>
      <c r="E19" s="10">
        <f>IF($A19="","",COUNTIF(Milestones!$B$2:$B$81,INDEX(ProcessGroups!$A$2:$A$80,19-1)))</f>
        <v/>
      </c>
      <c r="F19" s="10">
        <f>IF($A19="","",SUMPRODUCT((COUNTIFS(Activities!$A$2:$A$161,INDEX(ProcessGroups!$A$2:$A$80,19-1),Activities!$B$2:$B$161,Lists!$A$2:$A$5)&gt;0)*1))</f>
        <v/>
      </c>
    </row>
    <row r="20">
      <c r="A20" s="10">
        <f>IFERROR(INDEX(ProcessGroups!$B$2:$B$80,20-1),"")</f>
        <v/>
      </c>
      <c r="B20" s="10">
        <f>IF($A20="","",COUNTIFS(Activities!$A$2:$A$161,INDEX(ProcessGroups!$A$2:$A$80,20-1),Activities!$C$2:$C$161,"Product owner"))</f>
        <v/>
      </c>
      <c r="C20" s="10">
        <f>IF($A20="","",COUNTIFS(Activities!$A$2:$A$161,INDEX(ProcessGroups!$A$2:$A$80,20-1),Activities!$C$2:$C$161,"UX"))</f>
        <v/>
      </c>
      <c r="D20" s="10">
        <f>IF($A20="","",B20+C20)</f>
        <v/>
      </c>
      <c r="E20" s="10">
        <f>IF($A20="","",COUNTIF(Milestones!$B$2:$B$81,INDEX(ProcessGroups!$A$2:$A$80,20-1)))</f>
        <v/>
      </c>
      <c r="F20" s="10">
        <f>IF($A20="","",SUMPRODUCT((COUNTIFS(Activities!$A$2:$A$161,INDEX(ProcessGroups!$A$2:$A$80,20-1),Activities!$B$2:$B$161,Lists!$A$2:$A$5)&gt;0)*1))</f>
        <v/>
      </c>
    </row>
    <row r="21">
      <c r="A21" s="10">
        <f>IFERROR(INDEX(ProcessGroups!$B$2:$B$80,21-1),"")</f>
        <v/>
      </c>
      <c r="B21" s="10">
        <f>IF($A21="","",COUNTIFS(Activities!$A$2:$A$161,INDEX(ProcessGroups!$A$2:$A$80,21-1),Activities!$C$2:$C$161,"Product owner"))</f>
        <v/>
      </c>
      <c r="C21" s="10">
        <f>IF($A21="","",COUNTIFS(Activities!$A$2:$A$161,INDEX(ProcessGroups!$A$2:$A$80,21-1),Activities!$C$2:$C$161,"UX"))</f>
        <v/>
      </c>
      <c r="D21" s="10">
        <f>IF($A21="","",B21+C21)</f>
        <v/>
      </c>
      <c r="E21" s="10">
        <f>IF($A21="","",COUNTIF(Milestones!$B$2:$B$81,INDEX(ProcessGroups!$A$2:$A$80,21-1)))</f>
        <v/>
      </c>
      <c r="F21" s="10">
        <f>IF($A21="","",SUMPRODUCT((COUNTIFS(Activities!$A$2:$A$161,INDEX(ProcessGroups!$A$2:$A$80,21-1),Activities!$B$2:$B$161,Lists!$A$2:$A$5)&gt;0)*1))</f>
        <v/>
      </c>
    </row>
    <row r="22">
      <c r="A22" s="10">
        <f>IFERROR(INDEX(ProcessGroups!$B$2:$B$80,22-1),"")</f>
        <v/>
      </c>
      <c r="B22" s="10">
        <f>IF($A22="","",COUNTIFS(Activities!$A$2:$A$161,INDEX(ProcessGroups!$A$2:$A$80,22-1),Activities!$C$2:$C$161,"Product owner"))</f>
        <v/>
      </c>
      <c r="C22" s="10">
        <f>IF($A22="","",COUNTIFS(Activities!$A$2:$A$161,INDEX(ProcessGroups!$A$2:$A$80,22-1),Activities!$C$2:$C$161,"UX"))</f>
        <v/>
      </c>
      <c r="D22" s="10">
        <f>IF($A22="","",B22+C22)</f>
        <v/>
      </c>
      <c r="E22" s="10">
        <f>IF($A22="","",COUNTIF(Milestones!$B$2:$B$81,INDEX(ProcessGroups!$A$2:$A$80,22-1)))</f>
        <v/>
      </c>
      <c r="F22" s="10">
        <f>IF($A22="","",SUMPRODUCT((COUNTIFS(Activities!$A$2:$A$161,INDEX(ProcessGroups!$A$2:$A$80,22-1),Activities!$B$2:$B$161,Lists!$A$2:$A$5)&gt;0)*1))</f>
        <v/>
      </c>
    </row>
    <row r="23">
      <c r="A23" s="10">
        <f>IFERROR(INDEX(ProcessGroups!$B$2:$B$80,23-1),"")</f>
        <v/>
      </c>
      <c r="B23" s="10">
        <f>IF($A23="","",COUNTIFS(Activities!$A$2:$A$161,INDEX(ProcessGroups!$A$2:$A$80,23-1),Activities!$C$2:$C$161,"Product owner"))</f>
        <v/>
      </c>
      <c r="C23" s="10">
        <f>IF($A23="","",COUNTIFS(Activities!$A$2:$A$161,INDEX(ProcessGroups!$A$2:$A$80,23-1),Activities!$C$2:$C$161,"UX"))</f>
        <v/>
      </c>
      <c r="D23" s="10">
        <f>IF($A23="","",B23+C23)</f>
        <v/>
      </c>
      <c r="E23" s="10">
        <f>IF($A23="","",COUNTIF(Milestones!$B$2:$B$81,INDEX(ProcessGroups!$A$2:$A$80,23-1)))</f>
        <v/>
      </c>
      <c r="F23" s="10">
        <f>IF($A23="","",SUMPRODUCT((COUNTIFS(Activities!$A$2:$A$161,INDEX(ProcessGroups!$A$2:$A$80,23-1),Activities!$B$2:$B$161,Lists!$A$2:$A$5)&gt;0)*1))</f>
        <v/>
      </c>
    </row>
    <row r="24">
      <c r="A24" s="10">
        <f>IFERROR(INDEX(ProcessGroups!$B$2:$B$80,24-1),"")</f>
        <v/>
      </c>
      <c r="B24" s="10">
        <f>IF($A24="","",COUNTIFS(Activities!$A$2:$A$161,INDEX(ProcessGroups!$A$2:$A$80,24-1),Activities!$C$2:$C$161,"Product owner"))</f>
        <v/>
      </c>
      <c r="C24" s="10">
        <f>IF($A24="","",COUNTIFS(Activities!$A$2:$A$161,INDEX(ProcessGroups!$A$2:$A$80,24-1),Activities!$C$2:$C$161,"UX"))</f>
        <v/>
      </c>
      <c r="D24" s="10">
        <f>IF($A24="","",B24+C24)</f>
        <v/>
      </c>
      <c r="E24" s="10">
        <f>IF($A24="","",COUNTIF(Milestones!$B$2:$B$81,INDEX(ProcessGroups!$A$2:$A$80,24-1)))</f>
        <v/>
      </c>
      <c r="F24" s="10">
        <f>IF($A24="","",SUMPRODUCT((COUNTIFS(Activities!$A$2:$A$161,INDEX(ProcessGroups!$A$2:$A$80,24-1),Activities!$B$2:$B$161,Lists!$A$2:$A$5)&gt;0)*1))</f>
        <v/>
      </c>
    </row>
    <row r="25">
      <c r="A25" s="10">
        <f>IFERROR(INDEX(ProcessGroups!$B$2:$B$80,25-1),"")</f>
        <v/>
      </c>
      <c r="B25" s="10">
        <f>IF($A25="","",COUNTIFS(Activities!$A$2:$A$161,INDEX(ProcessGroups!$A$2:$A$80,25-1),Activities!$C$2:$C$161,"Product owner"))</f>
        <v/>
      </c>
      <c r="C25" s="10">
        <f>IF($A25="","",COUNTIFS(Activities!$A$2:$A$161,INDEX(ProcessGroups!$A$2:$A$80,25-1),Activities!$C$2:$C$161,"UX"))</f>
        <v/>
      </c>
      <c r="D25" s="10">
        <f>IF($A25="","",B25+C25)</f>
        <v/>
      </c>
      <c r="E25" s="10">
        <f>IF($A25="","",COUNTIF(Milestones!$B$2:$B$81,INDEX(ProcessGroups!$A$2:$A$80,25-1)))</f>
        <v/>
      </c>
      <c r="F25" s="10">
        <f>IF($A25="","",SUMPRODUCT((COUNTIFS(Activities!$A$2:$A$161,INDEX(ProcessGroups!$A$2:$A$80,25-1),Activities!$B$2:$B$161,Lists!$A$2:$A$5)&gt;0)*1))</f>
        <v/>
      </c>
    </row>
    <row r="26">
      <c r="A26" s="10">
        <f>IFERROR(INDEX(ProcessGroups!$B$2:$B$80,26-1),"")</f>
        <v/>
      </c>
      <c r="B26" s="10">
        <f>IF($A26="","",COUNTIFS(Activities!$A$2:$A$161,INDEX(ProcessGroups!$A$2:$A$80,26-1),Activities!$C$2:$C$161,"Product owner"))</f>
        <v/>
      </c>
      <c r="C26" s="10">
        <f>IF($A26="","",COUNTIFS(Activities!$A$2:$A$161,INDEX(ProcessGroups!$A$2:$A$80,26-1),Activities!$C$2:$C$161,"UX"))</f>
        <v/>
      </c>
      <c r="D26" s="10">
        <f>IF($A26="","",B26+C26)</f>
        <v/>
      </c>
      <c r="E26" s="10">
        <f>IF($A26="","",COUNTIF(Milestones!$B$2:$B$81,INDEX(ProcessGroups!$A$2:$A$80,26-1)))</f>
        <v/>
      </c>
      <c r="F26" s="10">
        <f>IF($A26="","",SUMPRODUCT((COUNTIFS(Activities!$A$2:$A$161,INDEX(ProcessGroups!$A$2:$A$80,26-1),Activities!$B$2:$B$161,Lists!$A$2:$A$5)&gt;0)*1))</f>
        <v/>
      </c>
    </row>
    <row r="27">
      <c r="A27" s="10">
        <f>IFERROR(INDEX(ProcessGroups!$B$2:$B$80,27-1),"")</f>
        <v/>
      </c>
      <c r="B27" s="10">
        <f>IF($A27="","",COUNTIFS(Activities!$A$2:$A$161,INDEX(ProcessGroups!$A$2:$A$80,27-1),Activities!$C$2:$C$161,"Product owner"))</f>
        <v/>
      </c>
      <c r="C27" s="10">
        <f>IF($A27="","",COUNTIFS(Activities!$A$2:$A$161,INDEX(ProcessGroups!$A$2:$A$80,27-1),Activities!$C$2:$C$161,"UX"))</f>
        <v/>
      </c>
      <c r="D27" s="10">
        <f>IF($A27="","",B27+C27)</f>
        <v/>
      </c>
      <c r="E27" s="10">
        <f>IF($A27="","",COUNTIF(Milestones!$B$2:$B$81,INDEX(ProcessGroups!$A$2:$A$80,27-1)))</f>
        <v/>
      </c>
      <c r="F27" s="10">
        <f>IF($A27="","",SUMPRODUCT((COUNTIFS(Activities!$A$2:$A$161,INDEX(ProcessGroups!$A$2:$A$80,27-1),Activities!$B$2:$B$161,Lists!$A$2:$A$5)&gt;0)*1))</f>
        <v/>
      </c>
    </row>
    <row r="28">
      <c r="A28" s="10">
        <f>IFERROR(INDEX(ProcessGroups!$B$2:$B$80,28-1),"")</f>
        <v/>
      </c>
      <c r="B28" s="10">
        <f>IF($A28="","",COUNTIFS(Activities!$A$2:$A$161,INDEX(ProcessGroups!$A$2:$A$80,28-1),Activities!$C$2:$C$161,"Product owner"))</f>
        <v/>
      </c>
      <c r="C28" s="10">
        <f>IF($A28="","",COUNTIFS(Activities!$A$2:$A$161,INDEX(ProcessGroups!$A$2:$A$80,28-1),Activities!$C$2:$C$161,"UX"))</f>
        <v/>
      </c>
      <c r="D28" s="10">
        <f>IF($A28="","",B28+C28)</f>
        <v/>
      </c>
      <c r="E28" s="10">
        <f>IF($A28="","",COUNTIF(Milestones!$B$2:$B$81,INDEX(ProcessGroups!$A$2:$A$80,28-1)))</f>
        <v/>
      </c>
      <c r="F28" s="10">
        <f>IF($A28="","",SUMPRODUCT((COUNTIFS(Activities!$A$2:$A$161,INDEX(ProcessGroups!$A$2:$A$80,28-1),Activities!$B$2:$B$161,Lists!$A$2:$A$5)&gt;0)*1))</f>
        <v/>
      </c>
    </row>
    <row r="29">
      <c r="A29" s="10">
        <f>IFERROR(INDEX(ProcessGroups!$B$2:$B$80,29-1),"")</f>
        <v/>
      </c>
      <c r="B29" s="10">
        <f>IF($A29="","",COUNTIFS(Activities!$A$2:$A$161,INDEX(ProcessGroups!$A$2:$A$80,29-1),Activities!$C$2:$C$161,"Product owner"))</f>
        <v/>
      </c>
      <c r="C29" s="10">
        <f>IF($A29="","",COUNTIFS(Activities!$A$2:$A$161,INDEX(ProcessGroups!$A$2:$A$80,29-1),Activities!$C$2:$C$161,"UX"))</f>
        <v/>
      </c>
      <c r="D29" s="10">
        <f>IF($A29="","",B29+C29)</f>
        <v/>
      </c>
      <c r="E29" s="10">
        <f>IF($A29="","",COUNTIF(Milestones!$B$2:$B$81,INDEX(ProcessGroups!$A$2:$A$80,29-1)))</f>
        <v/>
      </c>
      <c r="F29" s="10">
        <f>IF($A29="","",SUMPRODUCT((COUNTIFS(Activities!$A$2:$A$161,INDEX(ProcessGroups!$A$2:$A$80,29-1),Activities!$B$2:$B$161,Lists!$A$2:$A$5)&gt;0)*1))</f>
        <v/>
      </c>
    </row>
    <row r="30">
      <c r="A30" s="10">
        <f>IFERROR(INDEX(ProcessGroups!$B$2:$B$80,30-1),"")</f>
        <v/>
      </c>
      <c r="B30" s="10">
        <f>IF($A30="","",COUNTIFS(Activities!$A$2:$A$161,INDEX(ProcessGroups!$A$2:$A$80,30-1),Activities!$C$2:$C$161,"Product owner"))</f>
        <v/>
      </c>
      <c r="C30" s="10">
        <f>IF($A30="","",COUNTIFS(Activities!$A$2:$A$161,INDEX(ProcessGroups!$A$2:$A$80,30-1),Activities!$C$2:$C$161,"UX"))</f>
        <v/>
      </c>
      <c r="D30" s="10">
        <f>IF($A30="","",B30+C30)</f>
        <v/>
      </c>
      <c r="E30" s="10">
        <f>IF($A30="","",COUNTIF(Milestones!$B$2:$B$81,INDEX(ProcessGroups!$A$2:$A$80,30-1)))</f>
        <v/>
      </c>
      <c r="F30" s="10">
        <f>IF($A30="","",SUMPRODUCT((COUNTIFS(Activities!$A$2:$A$161,INDEX(ProcessGroups!$A$2:$A$80,30-1),Activities!$B$2:$B$161,Lists!$A$2:$A$5)&gt;0)*1))</f>
        <v/>
      </c>
    </row>
    <row r="31">
      <c r="A31" s="10">
        <f>IFERROR(INDEX(ProcessGroups!$B$2:$B$80,31-1),"")</f>
        <v/>
      </c>
      <c r="B31" s="10">
        <f>IF($A31="","",COUNTIFS(Activities!$A$2:$A$161,INDEX(ProcessGroups!$A$2:$A$80,31-1),Activities!$C$2:$C$161,"Product owner"))</f>
        <v/>
      </c>
      <c r="C31" s="10">
        <f>IF($A31="","",COUNTIFS(Activities!$A$2:$A$161,INDEX(ProcessGroups!$A$2:$A$80,31-1),Activities!$C$2:$C$161,"UX"))</f>
        <v/>
      </c>
      <c r="D31" s="10">
        <f>IF($A31="","",B31+C31)</f>
        <v/>
      </c>
      <c r="E31" s="10">
        <f>IF($A31="","",COUNTIF(Milestones!$B$2:$B$81,INDEX(ProcessGroups!$A$2:$A$80,31-1)))</f>
        <v/>
      </c>
      <c r="F31" s="10">
        <f>IF($A31="","",SUMPRODUCT((COUNTIFS(Activities!$A$2:$A$161,INDEX(ProcessGroups!$A$2:$A$80,31-1),Activities!$B$2:$B$161,Lists!$A$2:$A$5)&gt;0)*1))</f>
        <v/>
      </c>
    </row>
    <row r="32">
      <c r="A32" s="10">
        <f>IFERROR(INDEX(ProcessGroups!$B$2:$B$80,32-1),"")</f>
        <v/>
      </c>
      <c r="B32" s="10">
        <f>IF($A32="","",COUNTIFS(Activities!$A$2:$A$161,INDEX(ProcessGroups!$A$2:$A$80,32-1),Activities!$C$2:$C$161,"Product owner"))</f>
        <v/>
      </c>
      <c r="C32" s="10">
        <f>IF($A32="","",COUNTIFS(Activities!$A$2:$A$161,INDEX(ProcessGroups!$A$2:$A$80,32-1),Activities!$C$2:$C$161,"UX"))</f>
        <v/>
      </c>
      <c r="D32" s="10">
        <f>IF($A32="","",B32+C32)</f>
        <v/>
      </c>
      <c r="E32" s="10">
        <f>IF($A32="","",COUNTIF(Milestones!$B$2:$B$81,INDEX(ProcessGroups!$A$2:$A$80,32-1)))</f>
        <v/>
      </c>
      <c r="F32" s="10">
        <f>IF($A32="","",SUMPRODUCT((COUNTIFS(Activities!$A$2:$A$161,INDEX(ProcessGroups!$A$2:$A$80,32-1),Activities!$B$2:$B$161,Lists!$A$2:$A$5)&gt;0)*1))</f>
        <v/>
      </c>
    </row>
    <row r="33">
      <c r="A33" s="10">
        <f>IFERROR(INDEX(ProcessGroups!$B$2:$B$80,33-1),"")</f>
        <v/>
      </c>
      <c r="B33" s="10">
        <f>IF($A33="","",COUNTIFS(Activities!$A$2:$A$161,INDEX(ProcessGroups!$A$2:$A$80,33-1),Activities!$C$2:$C$161,"Product owner"))</f>
        <v/>
      </c>
      <c r="C33" s="10">
        <f>IF($A33="","",COUNTIFS(Activities!$A$2:$A$161,INDEX(ProcessGroups!$A$2:$A$80,33-1),Activities!$C$2:$C$161,"UX"))</f>
        <v/>
      </c>
      <c r="D33" s="10">
        <f>IF($A33="","",B33+C33)</f>
        <v/>
      </c>
      <c r="E33" s="10">
        <f>IF($A33="","",COUNTIF(Milestones!$B$2:$B$81,INDEX(ProcessGroups!$A$2:$A$80,33-1)))</f>
        <v/>
      </c>
      <c r="F33" s="10">
        <f>IF($A33="","",SUMPRODUCT((COUNTIFS(Activities!$A$2:$A$161,INDEX(ProcessGroups!$A$2:$A$80,33-1),Activities!$B$2:$B$161,Lists!$A$2:$A$5)&gt;0)*1))</f>
        <v/>
      </c>
    </row>
    <row r="34">
      <c r="A34" s="10">
        <f>IFERROR(INDEX(ProcessGroups!$B$2:$B$80,34-1),"")</f>
        <v/>
      </c>
      <c r="B34" s="10">
        <f>IF($A34="","",COUNTIFS(Activities!$A$2:$A$161,INDEX(ProcessGroups!$A$2:$A$80,34-1),Activities!$C$2:$C$161,"Product owner"))</f>
        <v/>
      </c>
      <c r="C34" s="10">
        <f>IF($A34="","",COUNTIFS(Activities!$A$2:$A$161,INDEX(ProcessGroups!$A$2:$A$80,34-1),Activities!$C$2:$C$161,"UX"))</f>
        <v/>
      </c>
      <c r="D34" s="10">
        <f>IF($A34="","",B34+C34)</f>
        <v/>
      </c>
      <c r="E34" s="10">
        <f>IF($A34="","",COUNTIF(Milestones!$B$2:$B$81,INDEX(ProcessGroups!$A$2:$A$80,34-1)))</f>
        <v/>
      </c>
      <c r="F34" s="10">
        <f>IF($A34="","",SUMPRODUCT((COUNTIFS(Activities!$A$2:$A$161,INDEX(ProcessGroups!$A$2:$A$80,34-1),Activities!$B$2:$B$161,Lists!$A$2:$A$5)&gt;0)*1))</f>
        <v/>
      </c>
    </row>
    <row r="35">
      <c r="A35" s="10">
        <f>IFERROR(INDEX(ProcessGroups!$B$2:$B$80,35-1),"")</f>
        <v/>
      </c>
      <c r="B35" s="10">
        <f>IF($A35="","",COUNTIFS(Activities!$A$2:$A$161,INDEX(ProcessGroups!$A$2:$A$80,35-1),Activities!$C$2:$C$161,"Product owner"))</f>
        <v/>
      </c>
      <c r="C35" s="10">
        <f>IF($A35="","",COUNTIFS(Activities!$A$2:$A$161,INDEX(ProcessGroups!$A$2:$A$80,35-1),Activities!$C$2:$C$161,"UX"))</f>
        <v/>
      </c>
      <c r="D35" s="10">
        <f>IF($A35="","",B35+C35)</f>
        <v/>
      </c>
      <c r="E35" s="10">
        <f>IF($A35="","",COUNTIF(Milestones!$B$2:$B$81,INDEX(ProcessGroups!$A$2:$A$80,35-1)))</f>
        <v/>
      </c>
      <c r="F35" s="10">
        <f>IF($A35="","",SUMPRODUCT((COUNTIFS(Activities!$A$2:$A$161,INDEX(ProcessGroups!$A$2:$A$80,35-1),Activities!$B$2:$B$161,Lists!$A$2:$A$5)&gt;0)*1))</f>
        <v/>
      </c>
    </row>
    <row r="36">
      <c r="A36" s="10">
        <f>IFERROR(INDEX(ProcessGroups!$B$2:$B$80,36-1),"")</f>
        <v/>
      </c>
      <c r="B36" s="10">
        <f>IF($A36="","",COUNTIFS(Activities!$A$2:$A$161,INDEX(ProcessGroups!$A$2:$A$80,36-1),Activities!$C$2:$C$161,"Product owner"))</f>
        <v/>
      </c>
      <c r="C36" s="10">
        <f>IF($A36="","",COUNTIFS(Activities!$A$2:$A$161,INDEX(ProcessGroups!$A$2:$A$80,36-1),Activities!$C$2:$C$161,"UX"))</f>
        <v/>
      </c>
      <c r="D36" s="10">
        <f>IF($A36="","",B36+C36)</f>
        <v/>
      </c>
      <c r="E36" s="10">
        <f>IF($A36="","",COUNTIF(Milestones!$B$2:$B$81,INDEX(ProcessGroups!$A$2:$A$80,36-1)))</f>
        <v/>
      </c>
      <c r="F36" s="10">
        <f>IF($A36="","",SUMPRODUCT((COUNTIFS(Activities!$A$2:$A$161,INDEX(ProcessGroups!$A$2:$A$80,36-1),Activities!$B$2:$B$161,Lists!$A$2:$A$5)&gt;0)*1))</f>
        <v/>
      </c>
    </row>
    <row r="37">
      <c r="A37" s="10">
        <f>IFERROR(INDEX(ProcessGroups!$B$2:$B$80,37-1),"")</f>
        <v/>
      </c>
      <c r="B37" s="10">
        <f>IF($A37="","",COUNTIFS(Activities!$A$2:$A$161,INDEX(ProcessGroups!$A$2:$A$80,37-1),Activities!$C$2:$C$161,"Product owner"))</f>
        <v/>
      </c>
      <c r="C37" s="10">
        <f>IF($A37="","",COUNTIFS(Activities!$A$2:$A$161,INDEX(ProcessGroups!$A$2:$A$80,37-1),Activities!$C$2:$C$161,"UX"))</f>
        <v/>
      </c>
      <c r="D37" s="10">
        <f>IF($A37="","",B37+C37)</f>
        <v/>
      </c>
      <c r="E37" s="10">
        <f>IF($A37="","",COUNTIF(Milestones!$B$2:$B$81,INDEX(ProcessGroups!$A$2:$A$80,37-1)))</f>
        <v/>
      </c>
      <c r="F37" s="10">
        <f>IF($A37="","",SUMPRODUCT((COUNTIFS(Activities!$A$2:$A$161,INDEX(ProcessGroups!$A$2:$A$80,37-1),Activities!$B$2:$B$161,Lists!$A$2:$A$5)&gt;0)*1))</f>
        <v/>
      </c>
    </row>
    <row r="38">
      <c r="A38" s="10">
        <f>IFERROR(INDEX(ProcessGroups!$B$2:$B$80,38-1),"")</f>
        <v/>
      </c>
      <c r="B38" s="10">
        <f>IF($A38="","",COUNTIFS(Activities!$A$2:$A$161,INDEX(ProcessGroups!$A$2:$A$80,38-1),Activities!$C$2:$C$161,"Product owner"))</f>
        <v/>
      </c>
      <c r="C38" s="10">
        <f>IF($A38="","",COUNTIFS(Activities!$A$2:$A$161,INDEX(ProcessGroups!$A$2:$A$80,38-1),Activities!$C$2:$C$161,"UX"))</f>
        <v/>
      </c>
      <c r="D38" s="10">
        <f>IF($A38="","",B38+C38)</f>
        <v/>
      </c>
      <c r="E38" s="10">
        <f>IF($A38="","",COUNTIF(Milestones!$B$2:$B$81,INDEX(ProcessGroups!$A$2:$A$80,38-1)))</f>
        <v/>
      </c>
      <c r="F38" s="10">
        <f>IF($A38="","",SUMPRODUCT((COUNTIFS(Activities!$A$2:$A$161,INDEX(ProcessGroups!$A$2:$A$80,38-1),Activities!$B$2:$B$161,Lists!$A$2:$A$5)&gt;0)*1))</f>
        <v/>
      </c>
    </row>
    <row r="39">
      <c r="A39" s="10">
        <f>IFERROR(INDEX(ProcessGroups!$B$2:$B$80,39-1),"")</f>
        <v/>
      </c>
      <c r="B39" s="10">
        <f>IF($A39="","",COUNTIFS(Activities!$A$2:$A$161,INDEX(ProcessGroups!$A$2:$A$80,39-1),Activities!$C$2:$C$161,"Product owner"))</f>
        <v/>
      </c>
      <c r="C39" s="10">
        <f>IF($A39="","",COUNTIFS(Activities!$A$2:$A$161,INDEX(ProcessGroups!$A$2:$A$80,39-1),Activities!$C$2:$C$161,"UX"))</f>
        <v/>
      </c>
      <c r="D39" s="10">
        <f>IF($A39="","",B39+C39)</f>
        <v/>
      </c>
      <c r="E39" s="10">
        <f>IF($A39="","",COUNTIF(Milestones!$B$2:$B$81,INDEX(ProcessGroups!$A$2:$A$80,39-1)))</f>
        <v/>
      </c>
      <c r="F39" s="10">
        <f>IF($A39="","",SUMPRODUCT((COUNTIFS(Activities!$A$2:$A$161,INDEX(ProcessGroups!$A$2:$A$80,39-1),Activities!$B$2:$B$161,Lists!$A$2:$A$5)&gt;0)*1))</f>
        <v/>
      </c>
    </row>
    <row r="40">
      <c r="A40" s="10">
        <f>IFERROR(INDEX(ProcessGroups!$B$2:$B$80,40-1),"")</f>
        <v/>
      </c>
      <c r="B40" s="10">
        <f>IF($A40="","",COUNTIFS(Activities!$A$2:$A$161,INDEX(ProcessGroups!$A$2:$A$80,40-1),Activities!$C$2:$C$161,"Product owner"))</f>
        <v/>
      </c>
      <c r="C40" s="10">
        <f>IF($A40="","",COUNTIFS(Activities!$A$2:$A$161,INDEX(ProcessGroups!$A$2:$A$80,40-1),Activities!$C$2:$C$161,"UX"))</f>
        <v/>
      </c>
      <c r="D40" s="10">
        <f>IF($A40="","",B40+C40)</f>
        <v/>
      </c>
      <c r="E40" s="10">
        <f>IF($A40="","",COUNTIF(Milestones!$B$2:$B$81,INDEX(ProcessGroups!$A$2:$A$80,40-1)))</f>
        <v/>
      </c>
      <c r="F40" s="10">
        <f>IF($A40="","",SUMPRODUCT((COUNTIFS(Activities!$A$2:$A$161,INDEX(ProcessGroups!$A$2:$A$80,40-1),Activities!$B$2:$B$161,Lists!$A$2:$A$5)&gt;0)*1))</f>
        <v/>
      </c>
    </row>
    <row r="41">
      <c r="A41" s="10">
        <f>IFERROR(INDEX(ProcessGroups!$B$2:$B$80,41-1),"")</f>
        <v/>
      </c>
      <c r="B41" s="10">
        <f>IF($A41="","",COUNTIFS(Activities!$A$2:$A$161,INDEX(ProcessGroups!$A$2:$A$80,41-1),Activities!$C$2:$C$161,"Product owner"))</f>
        <v/>
      </c>
      <c r="C41" s="10">
        <f>IF($A41="","",COUNTIFS(Activities!$A$2:$A$161,INDEX(ProcessGroups!$A$2:$A$80,41-1),Activities!$C$2:$C$161,"UX"))</f>
        <v/>
      </c>
      <c r="D41" s="10">
        <f>IF($A41="","",B41+C41)</f>
        <v/>
      </c>
      <c r="E41" s="10">
        <f>IF($A41="","",COUNTIF(Milestones!$B$2:$B$81,INDEX(ProcessGroups!$A$2:$A$80,41-1)))</f>
        <v/>
      </c>
      <c r="F41" s="10">
        <f>IF($A41="","",SUMPRODUCT((COUNTIFS(Activities!$A$2:$A$161,INDEX(ProcessGroups!$A$2:$A$80,41-1),Activities!$B$2:$B$161,Lists!$A$2:$A$5)&gt;0)*1))</f>
        <v/>
      </c>
    </row>
    <row r="43">
      <c r="A43" s="2" t="inlineStr">
        <is>
          <t>A group with PO activities and no UX activities is where gaps come from.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2026-09-10T01:53:55Z</dcterms:created>
  <dcterms:modified xsi:type="dcterms:W3CDTF">2026-09-10T01:53:55Z</dcterms:modified>
</cp:coreProperties>
</file>